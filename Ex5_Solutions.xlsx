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xi_Data1" sheetId="1" r:id="rId4"/>
    <sheet state="visible" name="Taxi_Data2" sheetId="2" r:id="rId5"/>
    <sheet state="visible" name="Assignment_Questions" sheetId="3" r:id="rId6"/>
    <sheet state="visible" name="Solutions" sheetId="4" r:id="rId7"/>
  </sheets>
  <definedNames/>
  <calcPr/>
  <pivotCaches>
    <pivotCache cacheId="0" r:id="rId8"/>
    <pivotCache cacheId="1" r:id="rId9"/>
  </pivotCaches>
  <extLst>
    <ext uri="GoogleSheetsCustomDataVersion2">
      <go:sheetsCustomData xmlns:go="http://customooxmlschemas.google.com/" r:id="rId10" roundtripDataChecksum="O9CtHuahrJ1QZyN3Ic/2q3uU8rQl8TrJ7LXN7a85jmY="/>
    </ext>
  </extLst>
</workbook>
</file>

<file path=xl/sharedStrings.xml><?xml version="1.0" encoding="utf-8"?>
<sst xmlns="http://schemas.openxmlformats.org/spreadsheetml/2006/main" count="832" uniqueCount="243">
  <si>
    <t>Ride_ID</t>
  </si>
  <si>
    <t>START_DATE</t>
  </si>
  <si>
    <t>END_DATE</t>
  </si>
  <si>
    <t>CATEGORY</t>
  </si>
  <si>
    <t>START</t>
  </si>
  <si>
    <t>STOP</t>
  </si>
  <si>
    <t>MILES</t>
  </si>
  <si>
    <t>PURPOSE</t>
  </si>
  <si>
    <t>Travel_Time</t>
  </si>
  <si>
    <t>Start_Hour</t>
  </si>
  <si>
    <t>WeekDay</t>
  </si>
  <si>
    <t>To_Fro_Rides</t>
  </si>
  <si>
    <t>RID_075</t>
  </si>
  <si>
    <t>Business</t>
  </si>
  <si>
    <t>Fort Pierce</t>
  </si>
  <si>
    <t>Meal/Entertain</t>
  </si>
  <si>
    <t>RID_076</t>
  </si>
  <si>
    <t>RID_077</t>
  </si>
  <si>
    <t>Errand/Supplies</t>
  </si>
  <si>
    <t>RID_078</t>
  </si>
  <si>
    <t>Meeting</t>
  </si>
  <si>
    <t>RID_079</t>
  </si>
  <si>
    <t>West Palm Beach</t>
  </si>
  <si>
    <t>Customer Visit</t>
  </si>
  <si>
    <t>RID_080</t>
  </si>
  <si>
    <t>RID_081</t>
  </si>
  <si>
    <t>Palm Beach</t>
  </si>
  <si>
    <t>RID_082</t>
  </si>
  <si>
    <t>Cary</t>
  </si>
  <si>
    <t>RID_083</t>
  </si>
  <si>
    <t>Morrisville</t>
  </si>
  <si>
    <t>RID_084</t>
  </si>
  <si>
    <t>Jamaica</t>
  </si>
  <si>
    <t>New York</t>
  </si>
  <si>
    <t>RID_085</t>
  </si>
  <si>
    <t>Queens</t>
  </si>
  <si>
    <t>RID_086</t>
  </si>
  <si>
    <t>Elmhurst</t>
  </si>
  <si>
    <t>RID_087</t>
  </si>
  <si>
    <t>Midtown</t>
  </si>
  <si>
    <t>East Harlem</t>
  </si>
  <si>
    <t>RID_088</t>
  </si>
  <si>
    <t>NoMad</t>
  </si>
  <si>
    <t>Temporary Site</t>
  </si>
  <si>
    <t>RID_089</t>
  </si>
  <si>
    <t>Flatiron District</t>
  </si>
  <si>
    <t>RID_090</t>
  </si>
  <si>
    <t>Midtown East</t>
  </si>
  <si>
    <t>RID_091</t>
  </si>
  <si>
    <t>RID_092</t>
  </si>
  <si>
    <t>Hudson Square</t>
  </si>
  <si>
    <t>RID_093</t>
  </si>
  <si>
    <t>Lower Manhattan</t>
  </si>
  <si>
    <t>RID_094</t>
  </si>
  <si>
    <t>RID_095</t>
  </si>
  <si>
    <t>Hell's Kitchen</t>
  </si>
  <si>
    <t>RID_096</t>
  </si>
  <si>
    <t>RID_097</t>
  </si>
  <si>
    <t>Queens County</t>
  </si>
  <si>
    <t>RID_098</t>
  </si>
  <si>
    <t>Chapel Hill</t>
  </si>
  <si>
    <t>RID_099</t>
  </si>
  <si>
    <t>RID_100</t>
  </si>
  <si>
    <t>Northwoods</t>
  </si>
  <si>
    <t>Whitebridge</t>
  </si>
  <si>
    <t>RID_101</t>
  </si>
  <si>
    <t>Williamsburg Manor</t>
  </si>
  <si>
    <t>RID_102</t>
  </si>
  <si>
    <t>RID_103</t>
  </si>
  <si>
    <t>RID_104</t>
  </si>
  <si>
    <t>RID_105</t>
  </si>
  <si>
    <t>RID_106</t>
  </si>
  <si>
    <t>RID_107</t>
  </si>
  <si>
    <t>RID_108</t>
  </si>
  <si>
    <t>RID_109</t>
  </si>
  <si>
    <t>Macgregor Downs</t>
  </si>
  <si>
    <t>RID_110</t>
  </si>
  <si>
    <t>RID_111</t>
  </si>
  <si>
    <t>Durham</t>
  </si>
  <si>
    <t>RID_112</t>
  </si>
  <si>
    <t>RID_113</t>
  </si>
  <si>
    <t>Raleigh</t>
  </si>
  <si>
    <t>Between Offices</t>
  </si>
  <si>
    <t>RID_114</t>
  </si>
  <si>
    <t>RID_115</t>
  </si>
  <si>
    <t>Edgehill Farms</t>
  </si>
  <si>
    <t>RID_116</t>
  </si>
  <si>
    <t>Apex</t>
  </si>
  <si>
    <t>RID_117</t>
  </si>
  <si>
    <t>RID_118</t>
  </si>
  <si>
    <t>RID_119</t>
  </si>
  <si>
    <t>RID_120</t>
  </si>
  <si>
    <t>RID_121</t>
  </si>
  <si>
    <t>RID_122</t>
  </si>
  <si>
    <t>Personal</t>
  </si>
  <si>
    <t>RID_123</t>
  </si>
  <si>
    <t>Tanglewood</t>
  </si>
  <si>
    <t>RID_124</t>
  </si>
  <si>
    <t>Preston</t>
  </si>
  <si>
    <t>RID_125</t>
  </si>
  <si>
    <t>RID_126</t>
  </si>
  <si>
    <t>RID_127</t>
  </si>
  <si>
    <t>RID_128</t>
  </si>
  <si>
    <t>RID_129</t>
  </si>
  <si>
    <t>Eastgate</t>
  </si>
  <si>
    <t>Walnut Terrace</t>
  </si>
  <si>
    <t>RID_130</t>
  </si>
  <si>
    <t>RID_131</t>
  </si>
  <si>
    <t>RID_132</t>
  </si>
  <si>
    <t>RID_133</t>
  </si>
  <si>
    <t>RID_134</t>
  </si>
  <si>
    <t>RID_135</t>
  </si>
  <si>
    <t>RID_136</t>
  </si>
  <si>
    <t>RID_137</t>
  </si>
  <si>
    <t>RID_138</t>
  </si>
  <si>
    <t>Wayne Ridge</t>
  </si>
  <si>
    <t>RID_139</t>
  </si>
  <si>
    <t>RID_140</t>
  </si>
  <si>
    <t>Westpark Place</t>
  </si>
  <si>
    <t>RID_141</t>
  </si>
  <si>
    <t>RID_142</t>
  </si>
  <si>
    <t>RID_143</t>
  </si>
  <si>
    <t>RID_144</t>
  </si>
  <si>
    <t>RID_145</t>
  </si>
  <si>
    <t>RID_146</t>
  </si>
  <si>
    <t>RID_147</t>
  </si>
  <si>
    <t>RID_148</t>
  </si>
  <si>
    <t>RID_149</t>
  </si>
  <si>
    <t>RID_150</t>
  </si>
  <si>
    <t>RID_151</t>
  </si>
  <si>
    <t>Fayetteville Street</t>
  </si>
  <si>
    <t>Depot Historic District</t>
  </si>
  <si>
    <t>RID_152</t>
  </si>
  <si>
    <t>RID_153</t>
  </si>
  <si>
    <t>RID_154</t>
  </si>
  <si>
    <t>RID_155</t>
  </si>
  <si>
    <t>RID_156</t>
  </si>
  <si>
    <t>Weston</t>
  </si>
  <si>
    <t>RID_157</t>
  </si>
  <si>
    <t>RID_158</t>
  </si>
  <si>
    <t>RID_159</t>
  </si>
  <si>
    <t>RID_160</t>
  </si>
  <si>
    <t>RID_161</t>
  </si>
  <si>
    <t>RID_162</t>
  </si>
  <si>
    <t>RID_163</t>
  </si>
  <si>
    <t>Meredith Townes</t>
  </si>
  <si>
    <t>RID_164</t>
  </si>
  <si>
    <t>Leesville Hollow</t>
  </si>
  <si>
    <t>RID_165</t>
  </si>
  <si>
    <t>RID_166</t>
  </si>
  <si>
    <t>Waverly Place</t>
  </si>
  <si>
    <t>RID_167</t>
  </si>
  <si>
    <t>RID_168</t>
  </si>
  <si>
    <t>RID_169</t>
  </si>
  <si>
    <t>RID_170</t>
  </si>
  <si>
    <t>East Austin</t>
  </si>
  <si>
    <t>West University</t>
  </si>
  <si>
    <t>RID_171</t>
  </si>
  <si>
    <t>South Congress</t>
  </si>
  <si>
    <t>RID_172</t>
  </si>
  <si>
    <t>Arts District</t>
  </si>
  <si>
    <t>RID_173</t>
  </si>
  <si>
    <t>The Drag</t>
  </si>
  <si>
    <t>Congress Ave District</t>
  </si>
  <si>
    <t>RID_174</t>
  </si>
  <si>
    <t>Downtown</t>
  </si>
  <si>
    <t>RID_175</t>
  </si>
  <si>
    <t>Red River District</t>
  </si>
  <si>
    <t>RID_176</t>
  </si>
  <si>
    <t>RID_177</t>
  </si>
  <si>
    <t>RID_178</t>
  </si>
  <si>
    <t>RID_179</t>
  </si>
  <si>
    <t>Fare</t>
  </si>
  <si>
    <t>Driver</t>
  </si>
  <si>
    <t>Nicholas</t>
  </si>
  <si>
    <t>Alex</t>
  </si>
  <si>
    <t>David</t>
  </si>
  <si>
    <t>Shawn</t>
  </si>
  <si>
    <t>Jason</t>
  </si>
  <si>
    <t>Mathew</t>
  </si>
  <si>
    <t>Javier</t>
  </si>
  <si>
    <t>Ian</t>
  </si>
  <si>
    <t>William</t>
  </si>
  <si>
    <t>Carol</t>
  </si>
  <si>
    <t>Robin</t>
  </si>
  <si>
    <t>Eduard</t>
  </si>
  <si>
    <t>Greg</t>
  </si>
  <si>
    <t>Lamine</t>
  </si>
  <si>
    <t>Andrew</t>
  </si>
  <si>
    <t>Justin</t>
  </si>
  <si>
    <t>Dylan</t>
  </si>
  <si>
    <t>Martin</t>
  </si>
  <si>
    <t>Thomas</t>
  </si>
  <si>
    <t>Vincent</t>
  </si>
  <si>
    <t>John</t>
  </si>
  <si>
    <t>Use Sheets Taxi_Data1 and Taxi_Data2</t>
  </si>
  <si>
    <t>Q1) Compute Travel Time for each ride like "1 hrs 20 mins"</t>
  </si>
  <si>
    <t>Q2) Find Overall Avg Distance, Avg Fare travelled</t>
  </si>
  <si>
    <t>Q3) Find top 5 Peak hours at which ride was started. Represent it on bar chart. Display data labels</t>
  </si>
  <si>
    <t>Q4) For the given Ride_IDs, populate Start_Date, End_Date,Driver_Fare, Distance and Travel_Time. Use  Vlookup. Handle Error(Display None, if Ride_Id is not present</t>
  </si>
  <si>
    <t>Start_Date</t>
  </si>
  <si>
    <t>End_Date</t>
  </si>
  <si>
    <t>Distance</t>
  </si>
  <si>
    <t>RID_184</t>
  </si>
  <si>
    <t>Q6) Find the Count of each Start and End Locations</t>
  </si>
  <si>
    <t>Start_Location</t>
  </si>
  <si>
    <t>Count</t>
  </si>
  <si>
    <t>End_Location</t>
  </si>
  <si>
    <t>Q7) Find Count of Rides and its Percenatge on each weekday. Use Pivot Table. Represent it on Pie chart</t>
  </si>
  <si>
    <t>Day</t>
  </si>
  <si>
    <t>Count_Percentage</t>
  </si>
  <si>
    <t>Monday</t>
  </si>
  <si>
    <t>Tuesday</t>
  </si>
  <si>
    <t>Wednesday</t>
  </si>
  <si>
    <t>Thursday</t>
  </si>
  <si>
    <t>Friday</t>
  </si>
  <si>
    <t>Saturday</t>
  </si>
  <si>
    <t>Sunday</t>
  </si>
  <si>
    <t>Q8) Find top 7 most busiest Drivers. Display Driver Names and Count of their ride</t>
  </si>
  <si>
    <t>Q9) Find Count of To and Fro Rides i.e. Rides where Start and End Locations are Same</t>
  </si>
  <si>
    <t>Q10) Find Count of recods where Purpose is null</t>
  </si>
  <si>
    <t>Q11) Find Count of each Purpose and its percentage. Use Pivot table</t>
  </si>
  <si>
    <t>Ans1</t>
  </si>
  <si>
    <t>Solved in Taxi_data1 sheet</t>
  </si>
  <si>
    <t>Ans2</t>
  </si>
  <si>
    <t>Avg_Distance</t>
  </si>
  <si>
    <t>Avg_Fare</t>
  </si>
  <si>
    <t>Ans3</t>
  </si>
  <si>
    <t>Peak Hour</t>
  </si>
  <si>
    <t>Count of Rides</t>
  </si>
  <si>
    <t>Grand Total</t>
  </si>
  <si>
    <t>Ans7</t>
  </si>
  <si>
    <t>Count of WeekDay</t>
  </si>
  <si>
    <t>Percentage</t>
  </si>
  <si>
    <t>Ans8</t>
  </si>
  <si>
    <t>Busiest Driver</t>
  </si>
  <si>
    <t>Drivers</t>
  </si>
  <si>
    <t>Count of Driver</t>
  </si>
  <si>
    <t>Ans9</t>
  </si>
  <si>
    <t>Ans10</t>
  </si>
  <si>
    <t>Ans11</t>
  </si>
  <si>
    <t>Count of PURPOSE</t>
  </si>
  <si>
    <t>Percent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</si>
</sst>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F7CAAC"/>
        <bgColor rgb="FFF7CAAC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1" numFmtId="0" xfId="0" applyBorder="1" applyFill="1" applyFont="1"/>
    <xf borderId="0" fillId="0" fontId="2" numFmtId="0" xfId="0" applyFont="1"/>
    <xf borderId="0" fillId="0" fontId="3" numFmtId="22" xfId="0" applyFont="1" applyNumberFormat="1"/>
    <xf borderId="0" fillId="0" fontId="3" numFmtId="0" xfId="0" applyAlignment="1" applyFont="1">
      <alignment shrinkToFit="0" vertical="center" wrapText="1"/>
    </xf>
    <xf borderId="3" fillId="4" fontId="1" numFmtId="0" xfId="0" applyBorder="1" applyFill="1" applyFont="1"/>
    <xf borderId="0" fillId="0" fontId="1" numFmtId="0" xfId="0" applyFont="1"/>
    <xf borderId="0" fillId="0" fontId="1" numFmtId="0" xfId="0" applyAlignment="1" applyFont="1">
      <alignment horizontal="left"/>
    </xf>
    <xf borderId="1" fillId="5" fontId="1" numFmtId="0" xfId="0" applyBorder="1" applyFill="1" applyFont="1"/>
    <xf borderId="1" fillId="6" fontId="1" numFmtId="0" xfId="0" applyBorder="1" applyFill="1" applyFont="1"/>
    <xf borderId="0" fillId="7" fontId="1" numFmtId="0" xfId="0" applyAlignment="1" applyFill="1" applyFont="1">
      <alignment readingOrder="0"/>
    </xf>
    <xf borderId="0" fillId="8" fontId="3" numFmtId="0" xfId="0" applyAlignment="1" applyFill="1" applyFont="1">
      <alignment readingOrder="0"/>
    </xf>
    <xf borderId="0" fillId="8" fontId="1" numFmtId="0" xfId="0" applyFont="1"/>
    <xf borderId="3" fillId="3" fontId="1" numFmtId="0" xfId="0" applyBorder="1" applyFont="1"/>
    <xf borderId="0" fillId="0" fontId="3" numFmtId="0" xfId="0" applyFont="1"/>
    <xf borderId="0" fillId="0" fontId="3" numFmtId="0" xfId="0" applyAlignment="1" applyFont="1">
      <alignment horizontal="left"/>
    </xf>
    <xf borderId="0" fillId="0" fontId="3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pivotCacheDefinition" Target="pivotCache/pivotCacheDefinition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Top 5 Peak Hour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Solutions!$B$12:$B$17</c:f>
            </c:strRef>
          </c:cat>
          <c:val>
            <c:numRef>
              <c:f>Solutions!$C$12:$C$17</c:f>
              <c:numCache/>
            </c:numRef>
          </c:val>
        </c:ser>
        <c:axId val="1572561090"/>
        <c:axId val="1568758852"/>
      </c:barChart>
      <c:catAx>
        <c:axId val="15725610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68758852"/>
      </c:catAx>
      <c:valAx>
        <c:axId val="15687588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72561090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Solutions!$C$24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chemeClr val="accent6"/>
              </a:solidFill>
            </c:spPr>
          </c:dPt>
          <c:dPt>
            <c:idx val="6"/>
            <c:spPr>
              <a:solidFill>
                <a:schemeClr val="accent1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Solutions!$B$25:$B$32</c:f>
            </c:strRef>
          </c:cat>
          <c:val>
            <c:numRef>
              <c:f>Solutions!$C$25:$C$32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552450</xdr:colOff>
      <xdr:row>8</xdr:row>
      <xdr:rowOff>28575</xdr:rowOff>
    </xdr:from>
    <xdr:ext cx="2676525" cy="1905000"/>
    <xdr:graphicFrame>
      <xdr:nvGraphicFramePr>
        <xdr:cNvPr id="98647656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323850</xdr:colOff>
      <xdr:row>20</xdr:row>
      <xdr:rowOff>76200</xdr:rowOff>
    </xdr:from>
    <xdr:ext cx="3676650" cy="2476500"/>
    <xdr:graphicFrame>
      <xdr:nvGraphicFramePr>
        <xdr:cNvPr id="1374013010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106" sheet="Taxi_Data1"/>
  </cacheSource>
  <cacheFields>
    <cacheField name="Ride_ID" numFmtId="0">
      <sharedItems>
        <s v="RID_075"/>
        <s v="RID_076"/>
        <s v="RID_077"/>
        <s v="RID_078"/>
        <s v="RID_079"/>
        <s v="RID_080"/>
        <s v="RID_081"/>
        <s v="RID_082"/>
        <s v="RID_083"/>
        <s v="RID_084"/>
        <s v="RID_085"/>
        <s v="RID_086"/>
        <s v="RID_087"/>
        <s v="RID_088"/>
        <s v="RID_089"/>
        <s v="RID_090"/>
        <s v="RID_091"/>
        <s v="RID_092"/>
        <s v="RID_093"/>
        <s v="RID_094"/>
        <s v="RID_095"/>
        <s v="RID_096"/>
        <s v="RID_097"/>
        <s v="RID_098"/>
        <s v="RID_099"/>
        <s v="RID_100"/>
        <s v="RID_101"/>
        <s v="RID_102"/>
        <s v="RID_103"/>
        <s v="RID_104"/>
        <s v="RID_105"/>
        <s v="RID_106"/>
        <s v="RID_107"/>
        <s v="RID_108"/>
        <s v="RID_109"/>
        <s v="RID_110"/>
        <s v="RID_111"/>
        <s v="RID_112"/>
        <s v="RID_113"/>
        <s v="RID_114"/>
        <s v="RID_115"/>
        <s v="RID_116"/>
        <s v="RID_117"/>
        <s v="RID_118"/>
        <s v="RID_119"/>
        <s v="RID_120"/>
        <s v="RID_121"/>
        <s v="RID_122"/>
        <s v="RID_123"/>
        <s v="RID_124"/>
        <s v="RID_125"/>
        <s v="RID_126"/>
        <s v="RID_127"/>
        <s v="RID_128"/>
        <s v="RID_129"/>
        <s v="RID_130"/>
        <s v="RID_131"/>
        <s v="RID_132"/>
        <s v="RID_133"/>
        <s v="RID_134"/>
        <s v="RID_135"/>
        <s v="RID_136"/>
        <s v="RID_137"/>
        <s v="RID_138"/>
        <s v="RID_139"/>
        <s v="RID_140"/>
        <s v="RID_141"/>
        <s v="RID_142"/>
        <s v="RID_143"/>
        <s v="RID_144"/>
        <s v="RID_145"/>
        <s v="RID_146"/>
        <s v="RID_147"/>
        <s v="RID_148"/>
        <s v="RID_149"/>
        <s v="RID_150"/>
        <s v="RID_151"/>
        <s v="RID_152"/>
        <s v="RID_153"/>
        <s v="RID_154"/>
        <s v="RID_155"/>
        <s v="RID_156"/>
        <s v="RID_157"/>
        <s v="RID_158"/>
        <s v="RID_159"/>
        <s v="RID_160"/>
        <s v="RID_161"/>
        <s v="RID_162"/>
        <s v="RID_163"/>
        <s v="RID_164"/>
        <s v="RID_165"/>
        <s v="RID_166"/>
        <s v="RID_167"/>
        <s v="RID_168"/>
        <s v="RID_169"/>
        <s v="RID_170"/>
        <s v="RID_171"/>
        <s v="RID_172"/>
        <s v="RID_173"/>
        <s v="RID_174"/>
        <s v="RID_175"/>
        <s v="RID_176"/>
        <s v="RID_177"/>
        <s v="RID_178"/>
        <s v="RID_179"/>
      </sharedItems>
    </cacheField>
    <cacheField name="START_DATE" numFmtId="22">
      <sharedItems containsSemiMixedTypes="0" containsDate="1" containsString="0">
        <d v="2016-01-01T21:11:00Z"/>
        <d v="2016-02-01T01:25:00Z"/>
        <d v="2016-02-01T20:25:00Z"/>
        <d v="2016-05-01T17:31:00Z"/>
        <d v="2016-06-01T14:42:00Z"/>
        <d v="2016-06-01T17:15:00Z"/>
        <d v="2016-06-01T17:30:00Z"/>
        <d v="2016-07-01T13:27:00Z"/>
        <d v="2016-10-01T08:05:00Z"/>
        <d v="2016-10-01T12:17:00Z"/>
        <d v="2016-10-01T15:08:00Z"/>
        <d v="2016-10-01T18:18:00Z"/>
        <d v="2016-10-01T19:12:00Z"/>
        <d v="2016-11-01T08:55:00Z"/>
        <d v="2016-11-01T11:56:00Z"/>
        <d v="2016-11-01T13:32:00Z"/>
        <d v="2016-11-01T14:30:00Z"/>
        <d v="2016-12-01T12:33:00Z"/>
        <d v="2016-12-01T12:53:00Z"/>
        <d v="2016-12-01T14:42:00Z"/>
        <d v="2016-12-01T15:13:00Z"/>
        <d v="2016-12-01T15:42:00Z"/>
        <d v="2016-12-01T16:02:00Z"/>
        <d v="2016-01-02T10:35:00Z"/>
        <d v="2016-01-02T12:10:00Z"/>
        <d v="2016-01-02T12:56:00Z"/>
        <d v="2016-02-02T13:04:00Z"/>
        <d v="2016-02-02T13:51:00Z"/>
        <d v="2016-02-02T14:38:00Z"/>
        <d v="2016-04-02T08:40:00Z"/>
        <d v="2016-04-02T09:37:00Z"/>
        <d v="2016-04-02T10:26:00Z"/>
        <d v="2016-04-02T15:59:00Z"/>
        <d v="2016-04-02T16:35:00Z"/>
        <d v="2016-04-02T18:04:00Z"/>
        <d v="2016-04-02T20:36:00Z"/>
        <d v="2016-05-02T11:47:00Z"/>
        <d v="2016-05-02T13:22:00Z"/>
        <d v="2016-06-02T16:20:00Z"/>
        <d v="2016-06-02T18:57:00Z"/>
        <d v="2016-06-02T19:28:00Z"/>
        <d v="2016-07-02T16:49:00Z"/>
        <d v="2016-07-02T18:03:00Z"/>
        <d v="2016-07-02T18:39:00Z"/>
        <d v="2016-07-02T20:22:00Z"/>
        <d v="2016-08-02T12:57:00Z"/>
        <d v="2016-08-02T14:00:00Z"/>
        <d v="2016-09-02T10:54:00Z"/>
        <d v="2016-09-02T11:43:00Z"/>
        <d v="2016-09-02T13:36:00Z"/>
        <d v="2016-09-02T13:58:00Z"/>
        <d v="2016-09-02T18:55:00Z"/>
        <d v="2016-09-02T20:24:00Z"/>
        <d v="2016-11-02T16:28:00Z"/>
        <d v="2016-11-02T17:49:00Z"/>
        <d v="2016-11-02T18:24:00Z"/>
        <d v="2016-11-02T20:36:00Z"/>
        <d v="2016-12-02T08:21:00Z"/>
        <d v="2016-12-02T10:45:00Z"/>
        <d v="2016-12-02T11:14:00Z"/>
        <d v="2016-12-02T13:02:00Z"/>
        <d v="2016-12-02T14:49:00Z"/>
        <d v="2016-12-02T15:33:00Z"/>
        <d v="2016-01-03T18:47:00Z"/>
        <d v="2016-01-03T21:27:00Z"/>
        <d v="2016-03-03T09:45:00Z"/>
        <d v="2016-03-03T11:04:00Z"/>
        <d v="2016-03-03T14:44:00Z"/>
        <d v="2016-03-03T15:27:00Z"/>
        <d v="2016-03-03T16:02:00Z"/>
        <d v="2016-04-03T07:47:00Z"/>
        <d v="2016-04-03T09:46:00Z"/>
        <d v="2016-04-03T11:46:00Z"/>
        <d v="2016-04-03T13:03:00Z"/>
        <d v="2016-04-03T13:40:00Z"/>
        <d v="2016-04-03T15:56:00Z"/>
        <d v="2016-04-03T16:16:00Z"/>
        <d v="2016-04-03T16:43:00Z"/>
        <d v="2016-04-03T19:02:00Z"/>
        <d v="2016-04-03T19:16:00Z"/>
        <d v="2016-05-03T11:44:00Z"/>
        <d v="2016-05-03T12:57:00Z"/>
        <d v="2016-05-03T14:08:00Z"/>
        <d v="2016-05-03T14:39:00Z"/>
        <d v="2016-05-03T16:52:00Z"/>
        <d v="2016-05-03T17:23:00Z"/>
        <d v="2016-07-03T09:10:00Z"/>
        <d v="2016-07-03T09:23:00Z"/>
        <d v="2016-07-03T12:10:00Z"/>
        <d v="2016-07-03T13:57:00Z"/>
        <d v="2016-07-03T15:19:00Z"/>
        <d v="2016-08-03T14:38:00Z"/>
        <d v="2016-08-03T15:35:00Z"/>
        <d v="2016-08-03T16:13:00Z"/>
        <d v="2016-10-03T03:36:00Z"/>
        <d v="2016-10-03T10:08:00Z"/>
        <d v="2016-10-03T14:39:00Z"/>
        <d v="2016-10-03T16:18:00Z"/>
        <d v="2016-11-03T09:47:00Z"/>
        <d v="2016-11-03T10:29:00Z"/>
        <d v="2016-11-03T11:57:00Z"/>
        <d v="2016-11-03T13:43:00Z"/>
        <d v="2016-11-03T19:21:00Z"/>
        <d v="2016-12-03T09:13:00Z"/>
        <d v="2016-12-03T18:27:00Z"/>
      </sharedItems>
    </cacheField>
    <cacheField name="END_DATE" numFmtId="22">
      <sharedItems containsSemiMixedTypes="0" containsDate="1" containsString="0">
        <d v="2016-01-01T21:17:00Z"/>
        <d v="2016-02-01T01:37:00Z"/>
        <d v="2016-02-01T20:38:00Z"/>
        <d v="2016-05-01T17:45:00Z"/>
        <d v="2016-06-01T15:49:00Z"/>
        <d v="2016-06-01T17:19:00Z"/>
        <d v="2016-06-01T17:35:00Z"/>
        <d v="2016-07-01T13:33:00Z"/>
        <d v="2016-10-01T08:25:00Z"/>
        <d v="2016-10-01T12:44:00Z"/>
        <d v="2016-10-01T15:51:00Z"/>
        <d v="2016-10-01T18:53:00Z"/>
        <d v="2016-10-01T19:32:00Z"/>
        <d v="2016-11-01T09:21:00Z"/>
        <d v="2016-11-01T12:03:00Z"/>
        <d v="2016-11-01T13:46:00Z"/>
        <d v="2016-11-01T14:43:00Z"/>
        <d v="2016-12-01T12:49:00Z"/>
        <d v="2016-12-01T13:09:00Z"/>
        <d v="2016-12-01T14:56:00Z"/>
        <d v="2016-12-01T15:28:00Z"/>
        <d v="2016-12-01T15:54:00Z"/>
        <d v="2016-12-01T17:00:00Z"/>
        <d v="2016-01-02T11:15:00Z"/>
        <d v="2016-01-02T12:43:00Z"/>
        <d v="2016-01-02T13:07:00Z"/>
        <d v="2016-02-02T13:23:00Z"/>
        <d v="2016-02-02T14:06:00Z"/>
        <d v="2016-02-02T14:42:00Z"/>
        <d v="2016-04-02T09:01:00Z"/>
        <d v="2016-04-02T10:09:00Z"/>
        <d v="2016-04-02T10:32:00Z"/>
        <d v="2016-04-02T16:03:00Z"/>
        <d v="2016-04-02T16:39:00Z"/>
        <d v="2016-04-02T18:31:00Z"/>
        <d v="2016-04-02T20:55:00Z"/>
        <d v="2016-05-02T12:07:00Z"/>
        <d v="2016-05-02T13:41:00Z"/>
        <d v="2016-06-02T16:53:00Z"/>
        <d v="2016-06-02T19:21:00Z"/>
        <d v="2016-06-02T19:37:00Z"/>
        <d v="2016-07-02T17:01:00Z"/>
        <d v="2016-07-02T18:17:00Z"/>
        <d v="2016-07-02T18:53:00Z"/>
        <d v="2016-07-02T20:40:00Z"/>
        <d v="2016-08-02T13:08:00Z"/>
        <d v="2016-08-02T14:10:00Z"/>
        <d v="2016-09-02T11:07:00Z"/>
        <d v="2016-09-02T11:50:00Z"/>
        <d v="2016-09-02T13:52:00Z"/>
        <d v="2016-09-02T14:02:00Z"/>
        <d v="2016-09-02T19:11:00Z"/>
        <d v="2016-09-02T20:40:00Z"/>
        <d v="2016-11-02T17:10:00Z"/>
        <d v="2016-11-02T18:10:00Z"/>
        <d v="2016-11-02T18:46:00Z"/>
        <d v="2016-11-02T20:51:00Z"/>
        <d v="2016-12-02T08:42:00Z"/>
        <d v="2016-12-02T10:52:00Z"/>
        <d v="2016-12-02T11:35:00Z"/>
        <d v="2016-12-02T13:36:00Z"/>
        <d v="2016-12-02T15:06:00Z"/>
        <d v="2016-12-02T16:06:00Z"/>
        <d v="2016-01-03T19:10:00Z"/>
        <d v="2016-01-03T21:45:00Z"/>
        <d v="2016-03-03T09:52:00Z"/>
        <d v="2016-03-03T11:10:00Z"/>
        <d v="2016-03-03T14:58:00Z"/>
        <d v="2016-03-03T15:48:00Z"/>
        <d v="2016-03-03T16:42:00Z"/>
        <d v="2016-04-03T08:06:00Z"/>
        <d v="2016-04-03T10:03:00Z"/>
        <d v="2016-04-03T12:06:00Z"/>
        <d v="2016-04-03T13:25:00Z"/>
        <d v="2016-04-03T14:09:00Z"/>
        <d v="2016-04-03T16:08:00Z"/>
        <d v="2016-04-03T16:22:00Z"/>
        <d v="2016-04-03T17:12:00Z"/>
        <d v="2016-04-03T19:08:00Z"/>
        <d v="2016-04-03T19:25:00Z"/>
        <d v="2016-05-03T11:59:00Z"/>
        <d v="2016-05-03T13:12:00Z"/>
        <d v="2016-05-03T14:18:00Z"/>
        <d v="2016-05-03T15:01:00Z"/>
        <d v="2016-05-03T17:13:00Z"/>
        <d v="2016-05-03T17:34:00Z"/>
        <d v="2016-07-03T09:20:00Z"/>
        <d v="2016-07-03T09:47:00Z"/>
        <d v="2016-07-03T12:26:00Z"/>
        <d v="2016-07-03T14:18:00Z"/>
        <d v="2016-07-03T15:45:00Z"/>
        <d v="2016-08-03T14:55:00Z"/>
        <d v="2016-08-03T16:00:00Z"/>
        <d v="2016-08-03T16:25:00Z"/>
        <d v="2016-10-03T03:53:00Z"/>
        <d v="2016-10-03T10:37:00Z"/>
        <d v="2016-10-03T14:55:00Z"/>
        <d v="2016-10-03T16:28:00Z"/>
        <d v="2016-11-03T09:59:00Z"/>
        <d v="2016-11-03T10:36:00Z"/>
        <d v="2016-11-03T12:04:00Z"/>
        <d v="2016-11-03T13:51:00Z"/>
        <d v="2016-11-03T19:35:00Z"/>
        <d v="2016-12-03T09:22:00Z"/>
        <d v="2016-12-03T18:37:00Z"/>
      </sharedItems>
    </cacheField>
    <cacheField name="CATEGORY" numFmtId="0">
      <sharedItems>
        <s v="Business"/>
        <s v="Personal"/>
      </sharedItems>
    </cacheField>
    <cacheField name="START" numFmtId="0">
      <sharedItems>
        <s v="Fort Pierce"/>
        <s v="West Palm Beach"/>
        <s v="Cary"/>
        <s v="Jamaica"/>
        <s v="New York"/>
        <s v="Elmhurst"/>
        <s v="Midtown"/>
        <s v="East Harlem"/>
        <s v="Flatiron District"/>
        <s v="Midtown East"/>
        <s v="Hudson Square"/>
        <s v="Lower Manhattan"/>
        <s v="Hell's Kitchen"/>
        <s v="Chapel Hill"/>
        <s v="Northwoods"/>
        <s v="Whitebridge"/>
        <s v="Morrisville"/>
        <s v="Durham"/>
        <s v="Raleigh"/>
        <s v="Edgehill Farms"/>
        <s v="Apex"/>
        <s v="Tanglewood"/>
        <s v="Preston"/>
        <s v="Eastgate"/>
        <s v="Wayne Ridge"/>
        <s v="Westpark Place"/>
        <s v="Fayetteville Street"/>
        <s v="Weston"/>
        <s v="Meredith Townes"/>
        <s v="Waverly Place"/>
        <s v="East Austin"/>
        <s v="West University"/>
        <s v="South Congress"/>
        <s v="The Drag"/>
        <s v="Congress Ave District"/>
        <s v="Downtown"/>
        <s v="Red River District"/>
      </sharedItems>
    </cacheField>
    <cacheField name="STOP" numFmtId="0">
      <sharedItems>
        <s v="Fort Pierce"/>
        <s v="West Palm Beach"/>
        <s v="Palm Beach"/>
        <s v="Cary"/>
        <s v="Morrisville"/>
        <s v="New York"/>
        <s v="Queens"/>
        <s v="East Harlem"/>
        <s v="NoMad"/>
        <s v="Midtown"/>
        <s v="Midtown East"/>
        <s v="Hudson Square"/>
        <s v="Lower Manhattan"/>
        <s v="Hell's Kitchen"/>
        <s v="Queens County"/>
        <s v="Chapel Hill"/>
        <s v="Whitebridge"/>
        <s v="Williamsburg Manor"/>
        <s v="Macgregor Downs"/>
        <s v="Durham"/>
        <s v="Raleigh"/>
        <s v="Apex"/>
        <s v="Edgehill Farms"/>
        <s v="Northwoods"/>
        <s v="Tanglewood"/>
        <s v="Preston"/>
        <s v="Walnut Terrace"/>
        <s v="Wayne Ridge"/>
        <s v="Westpark Place"/>
        <s v="Depot Historic District"/>
        <s v="Weston"/>
        <s v="Meredith Townes"/>
        <s v="Leesville Hollow"/>
        <s v="Waverly Place"/>
        <s v="West University"/>
        <s v="South Congress"/>
        <s v="Arts District"/>
        <s v="Congress Ave District"/>
        <s v="Downtown"/>
        <s v="Red River District"/>
        <s v="The Drag"/>
      </sharedItems>
    </cacheField>
    <cacheField name="MILES" numFmtId="0">
      <sharedItems containsSemiMixedTypes="0" containsString="0" containsNumber="1">
        <n v="5.1"/>
        <n v="5.0"/>
        <n v="4.8"/>
        <n v="4.7"/>
        <n v="63.7"/>
        <n v="4.3"/>
        <n v="7.1"/>
        <n v="0.8"/>
        <n v="8.3"/>
        <n v="16.5"/>
        <n v="10.8"/>
        <n v="7.5"/>
        <n v="6.2"/>
        <n v="6.4"/>
        <n v="1.6"/>
        <n v="1.7"/>
        <n v="1.9"/>
        <n v="4.0"/>
        <n v="1.8"/>
        <n v="2.4"/>
        <n v="2.0"/>
        <n v="15.1"/>
        <n v="19.4"/>
        <n v="23.3"/>
        <n v="3.9"/>
        <n v="6.0"/>
        <n v="5.2"/>
        <n v="9.7"/>
        <n v="1.1"/>
        <n v="9.0"/>
        <n v="7.7"/>
        <n v="10.4"/>
        <n v="11.4"/>
        <n v="3.2"/>
        <n v="5.6"/>
        <n v="5.7"/>
        <n v="6.1"/>
        <n v="2.7"/>
        <n v="5.3"/>
        <n v="3.0"/>
        <n v="1.5"/>
        <n v="17.3"/>
        <n v="13.5"/>
        <n v="8.5"/>
        <n v="2.6"/>
        <n v="17.0"/>
        <n v="18.0"/>
        <n v="8.4"/>
        <n v="11.5"/>
        <n v="8.0"/>
        <n v="2.2"/>
        <n v="2.3"/>
        <n v="7.6"/>
        <n v="9.9"/>
        <n v="10.9"/>
        <n v="15.7"/>
        <n v="4.9"/>
        <n v="6.5"/>
        <n v="4.2"/>
        <n v="3.5"/>
        <n v="7.8"/>
        <n v="2.8"/>
        <n v="12.4"/>
        <n v="5.9"/>
        <n v="9.4"/>
        <n v="11.9"/>
        <n v="7.2"/>
        <n v="12.8"/>
        <n v="1.2"/>
        <n v="1.0"/>
        <n v="2.1"/>
      </sharedItems>
    </cacheField>
    <cacheField name="PURPOSE" numFmtId="0">
      <sharedItems containsBlank="1">
        <s v="Meal/Entertain"/>
        <m/>
        <s v="Errand/Supplies"/>
        <s v="Meeting"/>
        <s v="Customer Visit"/>
        <s v="Temporary Site"/>
        <s v="Between Offices"/>
      </sharedItems>
    </cacheField>
    <cacheField name="Travel_Time" numFmtId="0">
      <sharedItems>
        <s v="0 hrs 6 mins"/>
        <s v="0 hrs 12 mins"/>
        <s v="0 hrs 13 mins"/>
        <s v="0 hrs 14 mins"/>
        <s v="1 hrs 7 mins"/>
        <s v="0 hrs 4 mins"/>
        <s v="0 hrs 5 mins"/>
        <s v="0 hrs 20 mins"/>
        <s v="0 hrs 27 mins"/>
        <s v="0 hrs 43 mins"/>
        <s v="0 hrs 35 mins"/>
        <s v="0 hrs 26 mins"/>
        <s v="0 hrs 7 mins"/>
        <s v="0 hrs 16 mins"/>
        <s v="0 hrs 15 mins"/>
        <s v="0 hrs 58 mins"/>
        <s v="0 hrs 40 mins"/>
        <s v="0 hrs 33 mins"/>
        <s v="0 hrs 11 mins"/>
        <s v="0 hrs 19 mins"/>
        <s v="0 hrs 21 mins"/>
        <s v="0 hrs 32 mins"/>
        <s v="0 hrs 24 mins"/>
        <s v="0 hrs 9 mins"/>
        <s v="0 hrs 18 mins"/>
        <s v="0 hrs 10 mins"/>
        <s v="0 hrs 42 mins"/>
        <s v="0 hrs 22 mins"/>
        <s v="0 hrs 34 mins"/>
        <s v="0 hrs 17 mins"/>
        <s v="0 hrs 23 mins"/>
        <s v="0 hrs 29 mins"/>
        <s v="0 hrs 25 mins"/>
        <s v="0 hrs 8 mins"/>
      </sharedItems>
    </cacheField>
    <cacheField name="Start_Hour" numFmtId="0">
      <sharedItems containsSemiMixedTypes="0" containsString="0" containsNumber="1" containsInteger="1">
        <n v="21.0"/>
        <n v="1.0"/>
        <n v="20.0"/>
        <n v="17.0"/>
        <n v="14.0"/>
        <n v="13.0"/>
        <n v="8.0"/>
        <n v="12.0"/>
        <n v="15.0"/>
        <n v="18.0"/>
        <n v="19.0"/>
        <n v="11.0"/>
        <n v="16.0"/>
        <n v="10.0"/>
        <n v="9.0"/>
        <n v="7.0"/>
        <n v="3.0"/>
      </sharedItems>
    </cacheField>
    <cacheField name="WeekDay" numFmtId="0">
      <sharedItems>
        <s v="Friday"/>
        <s v="Monday"/>
        <s v="Sunday"/>
        <s v="Wednesday"/>
        <s v="Saturday"/>
        <s v="Tuesday"/>
        <s v="Thursday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06" sheet="Taxi_Data1"/>
  </cacheSource>
  <cacheFields>
    <cacheField name="Ride_ID" numFmtId="0">
      <sharedItems>
        <s v="RID_075"/>
        <s v="RID_076"/>
        <s v="RID_077"/>
        <s v="RID_078"/>
        <s v="RID_079"/>
        <s v="RID_080"/>
        <s v="RID_081"/>
        <s v="RID_082"/>
        <s v="RID_083"/>
        <s v="RID_084"/>
        <s v="RID_085"/>
        <s v="RID_086"/>
        <s v="RID_087"/>
        <s v="RID_088"/>
        <s v="RID_089"/>
        <s v="RID_090"/>
        <s v="RID_091"/>
        <s v="RID_092"/>
        <s v="RID_093"/>
        <s v="RID_094"/>
        <s v="RID_095"/>
        <s v="RID_096"/>
        <s v="RID_097"/>
        <s v="RID_098"/>
        <s v="RID_099"/>
        <s v="RID_100"/>
        <s v="RID_101"/>
        <s v="RID_102"/>
        <s v="RID_103"/>
        <s v="RID_104"/>
        <s v="RID_105"/>
        <s v="RID_106"/>
        <s v="RID_107"/>
        <s v="RID_108"/>
        <s v="RID_109"/>
        <s v="RID_110"/>
        <s v="RID_111"/>
        <s v="RID_112"/>
        <s v="RID_113"/>
        <s v="RID_114"/>
        <s v="RID_115"/>
        <s v="RID_116"/>
        <s v="RID_117"/>
        <s v="RID_118"/>
        <s v="RID_119"/>
        <s v="RID_120"/>
        <s v="RID_121"/>
        <s v="RID_122"/>
        <s v="RID_123"/>
        <s v="RID_124"/>
        <s v="RID_125"/>
        <s v="RID_126"/>
        <s v="RID_127"/>
        <s v="RID_128"/>
        <s v="RID_129"/>
        <s v="RID_130"/>
        <s v="RID_131"/>
        <s v="RID_132"/>
        <s v="RID_133"/>
        <s v="RID_134"/>
        <s v="RID_135"/>
        <s v="RID_136"/>
        <s v="RID_137"/>
        <s v="RID_138"/>
        <s v="RID_139"/>
        <s v="RID_140"/>
        <s v="RID_141"/>
        <s v="RID_142"/>
        <s v="RID_143"/>
        <s v="RID_144"/>
        <s v="RID_145"/>
        <s v="RID_146"/>
        <s v="RID_147"/>
        <s v="RID_148"/>
        <s v="RID_149"/>
        <s v="RID_150"/>
        <s v="RID_151"/>
        <s v="RID_152"/>
        <s v="RID_153"/>
        <s v="RID_154"/>
        <s v="RID_155"/>
        <s v="RID_156"/>
        <s v="RID_157"/>
        <s v="RID_158"/>
        <s v="RID_159"/>
        <s v="RID_160"/>
        <s v="RID_161"/>
        <s v="RID_162"/>
        <s v="RID_163"/>
        <s v="RID_164"/>
        <s v="RID_165"/>
        <s v="RID_166"/>
        <s v="RID_167"/>
        <s v="RID_168"/>
        <s v="RID_169"/>
        <s v="RID_170"/>
        <s v="RID_171"/>
        <s v="RID_172"/>
        <s v="RID_173"/>
        <s v="RID_174"/>
        <s v="RID_175"/>
        <s v="RID_176"/>
        <s v="RID_177"/>
        <s v="RID_178"/>
        <s v="RID_179"/>
      </sharedItems>
    </cacheField>
    <cacheField name="START_DATE" numFmtId="22">
      <sharedItems containsSemiMixedTypes="0" containsDate="1" containsString="0">
        <d v="2016-01-01T21:11:00Z"/>
        <d v="2016-02-01T01:25:00Z"/>
        <d v="2016-02-01T20:25:00Z"/>
        <d v="2016-05-01T17:31:00Z"/>
        <d v="2016-06-01T14:42:00Z"/>
        <d v="2016-06-01T17:15:00Z"/>
        <d v="2016-06-01T17:30:00Z"/>
        <d v="2016-07-01T13:27:00Z"/>
        <d v="2016-10-01T08:05:00Z"/>
        <d v="2016-10-01T12:17:00Z"/>
        <d v="2016-10-01T15:08:00Z"/>
        <d v="2016-10-01T18:18:00Z"/>
        <d v="2016-10-01T19:12:00Z"/>
        <d v="2016-11-01T08:55:00Z"/>
        <d v="2016-11-01T11:56:00Z"/>
        <d v="2016-11-01T13:32:00Z"/>
        <d v="2016-11-01T14:30:00Z"/>
        <d v="2016-12-01T12:33:00Z"/>
        <d v="2016-12-01T12:53:00Z"/>
        <d v="2016-12-01T14:42:00Z"/>
        <d v="2016-12-01T15:13:00Z"/>
        <d v="2016-12-01T15:42:00Z"/>
        <d v="2016-12-01T16:02:00Z"/>
        <d v="2016-01-02T10:35:00Z"/>
        <d v="2016-01-02T12:10:00Z"/>
        <d v="2016-01-02T12:56:00Z"/>
        <d v="2016-02-02T13:04:00Z"/>
        <d v="2016-02-02T13:51:00Z"/>
        <d v="2016-02-02T14:38:00Z"/>
        <d v="2016-04-02T08:40:00Z"/>
        <d v="2016-04-02T09:37:00Z"/>
        <d v="2016-04-02T10:26:00Z"/>
        <d v="2016-04-02T15:59:00Z"/>
        <d v="2016-04-02T16:35:00Z"/>
        <d v="2016-04-02T18:04:00Z"/>
        <d v="2016-04-02T20:36:00Z"/>
        <d v="2016-05-02T11:47:00Z"/>
        <d v="2016-05-02T13:22:00Z"/>
        <d v="2016-06-02T16:20:00Z"/>
        <d v="2016-06-02T18:57:00Z"/>
        <d v="2016-06-02T19:28:00Z"/>
        <d v="2016-07-02T16:49:00Z"/>
        <d v="2016-07-02T18:03:00Z"/>
        <d v="2016-07-02T18:39:00Z"/>
        <d v="2016-07-02T20:22:00Z"/>
        <d v="2016-08-02T12:57:00Z"/>
        <d v="2016-08-02T14:00:00Z"/>
        <d v="2016-09-02T10:54:00Z"/>
        <d v="2016-09-02T11:43:00Z"/>
        <d v="2016-09-02T13:36:00Z"/>
        <d v="2016-09-02T13:58:00Z"/>
        <d v="2016-09-02T18:55:00Z"/>
        <d v="2016-09-02T20:24:00Z"/>
        <d v="2016-11-02T16:28:00Z"/>
        <d v="2016-11-02T17:49:00Z"/>
        <d v="2016-11-02T18:24:00Z"/>
        <d v="2016-11-02T20:36:00Z"/>
        <d v="2016-12-02T08:21:00Z"/>
        <d v="2016-12-02T10:45:00Z"/>
        <d v="2016-12-02T11:14:00Z"/>
        <d v="2016-12-02T13:02:00Z"/>
        <d v="2016-12-02T14:49:00Z"/>
        <d v="2016-12-02T15:33:00Z"/>
        <d v="2016-01-03T18:47:00Z"/>
        <d v="2016-01-03T21:27:00Z"/>
        <d v="2016-03-03T09:45:00Z"/>
        <d v="2016-03-03T11:04:00Z"/>
        <d v="2016-03-03T14:44:00Z"/>
        <d v="2016-03-03T15:27:00Z"/>
        <d v="2016-03-03T16:02:00Z"/>
        <d v="2016-04-03T07:47:00Z"/>
        <d v="2016-04-03T09:46:00Z"/>
        <d v="2016-04-03T11:46:00Z"/>
        <d v="2016-04-03T13:03:00Z"/>
        <d v="2016-04-03T13:40:00Z"/>
        <d v="2016-04-03T15:56:00Z"/>
        <d v="2016-04-03T16:16:00Z"/>
        <d v="2016-04-03T16:43:00Z"/>
        <d v="2016-04-03T19:02:00Z"/>
        <d v="2016-04-03T19:16:00Z"/>
        <d v="2016-05-03T11:44:00Z"/>
        <d v="2016-05-03T12:57:00Z"/>
        <d v="2016-05-03T14:08:00Z"/>
        <d v="2016-05-03T14:39:00Z"/>
        <d v="2016-05-03T16:52:00Z"/>
        <d v="2016-05-03T17:23:00Z"/>
        <d v="2016-07-03T09:10:00Z"/>
        <d v="2016-07-03T09:23:00Z"/>
        <d v="2016-07-03T12:10:00Z"/>
        <d v="2016-07-03T13:57:00Z"/>
        <d v="2016-07-03T15:19:00Z"/>
        <d v="2016-08-03T14:38:00Z"/>
        <d v="2016-08-03T15:35:00Z"/>
        <d v="2016-08-03T16:13:00Z"/>
        <d v="2016-10-03T03:36:00Z"/>
        <d v="2016-10-03T10:08:00Z"/>
        <d v="2016-10-03T14:39:00Z"/>
        <d v="2016-10-03T16:18:00Z"/>
        <d v="2016-11-03T09:47:00Z"/>
        <d v="2016-11-03T10:29:00Z"/>
        <d v="2016-11-03T11:57:00Z"/>
        <d v="2016-11-03T13:43:00Z"/>
        <d v="2016-11-03T19:21:00Z"/>
        <d v="2016-12-03T09:13:00Z"/>
        <d v="2016-12-03T18:27:00Z"/>
      </sharedItems>
    </cacheField>
    <cacheField name="END_DATE" numFmtId="22">
      <sharedItems containsSemiMixedTypes="0" containsDate="1" containsString="0">
        <d v="2016-01-01T21:17:00Z"/>
        <d v="2016-02-01T01:37:00Z"/>
        <d v="2016-02-01T20:38:00Z"/>
        <d v="2016-05-01T17:45:00Z"/>
        <d v="2016-06-01T15:49:00Z"/>
        <d v="2016-06-01T17:19:00Z"/>
        <d v="2016-06-01T17:35:00Z"/>
        <d v="2016-07-01T13:33:00Z"/>
        <d v="2016-10-01T08:25:00Z"/>
        <d v="2016-10-01T12:44:00Z"/>
        <d v="2016-10-01T15:51:00Z"/>
        <d v="2016-10-01T18:53:00Z"/>
        <d v="2016-10-01T19:32:00Z"/>
        <d v="2016-11-01T09:21:00Z"/>
        <d v="2016-11-01T12:03:00Z"/>
        <d v="2016-11-01T13:46:00Z"/>
        <d v="2016-11-01T14:43:00Z"/>
        <d v="2016-12-01T12:49:00Z"/>
        <d v="2016-12-01T13:09:00Z"/>
        <d v="2016-12-01T14:56:00Z"/>
        <d v="2016-12-01T15:28:00Z"/>
        <d v="2016-12-01T15:54:00Z"/>
        <d v="2016-12-01T17:00:00Z"/>
        <d v="2016-01-02T11:15:00Z"/>
        <d v="2016-01-02T12:43:00Z"/>
        <d v="2016-01-02T13:07:00Z"/>
        <d v="2016-02-02T13:23:00Z"/>
        <d v="2016-02-02T14:06:00Z"/>
        <d v="2016-02-02T14:42:00Z"/>
        <d v="2016-04-02T09:01:00Z"/>
        <d v="2016-04-02T10:09:00Z"/>
        <d v="2016-04-02T10:32:00Z"/>
        <d v="2016-04-02T16:03:00Z"/>
        <d v="2016-04-02T16:39:00Z"/>
        <d v="2016-04-02T18:31:00Z"/>
        <d v="2016-04-02T20:55:00Z"/>
        <d v="2016-05-02T12:07:00Z"/>
        <d v="2016-05-02T13:41:00Z"/>
        <d v="2016-06-02T16:53:00Z"/>
        <d v="2016-06-02T19:21:00Z"/>
        <d v="2016-06-02T19:37:00Z"/>
        <d v="2016-07-02T17:01:00Z"/>
        <d v="2016-07-02T18:17:00Z"/>
        <d v="2016-07-02T18:53:00Z"/>
        <d v="2016-07-02T20:40:00Z"/>
        <d v="2016-08-02T13:08:00Z"/>
        <d v="2016-08-02T14:10:00Z"/>
        <d v="2016-09-02T11:07:00Z"/>
        <d v="2016-09-02T11:50:00Z"/>
        <d v="2016-09-02T13:52:00Z"/>
        <d v="2016-09-02T14:02:00Z"/>
        <d v="2016-09-02T19:11:00Z"/>
        <d v="2016-09-02T20:40:00Z"/>
        <d v="2016-11-02T17:10:00Z"/>
        <d v="2016-11-02T18:10:00Z"/>
        <d v="2016-11-02T18:46:00Z"/>
        <d v="2016-11-02T20:51:00Z"/>
        <d v="2016-12-02T08:42:00Z"/>
        <d v="2016-12-02T10:52:00Z"/>
        <d v="2016-12-02T11:35:00Z"/>
        <d v="2016-12-02T13:36:00Z"/>
        <d v="2016-12-02T15:06:00Z"/>
        <d v="2016-12-02T16:06:00Z"/>
        <d v="2016-01-03T19:10:00Z"/>
        <d v="2016-01-03T21:45:00Z"/>
        <d v="2016-03-03T09:52:00Z"/>
        <d v="2016-03-03T11:10:00Z"/>
        <d v="2016-03-03T14:58:00Z"/>
        <d v="2016-03-03T15:48:00Z"/>
        <d v="2016-03-03T16:42:00Z"/>
        <d v="2016-04-03T08:06:00Z"/>
        <d v="2016-04-03T10:03:00Z"/>
        <d v="2016-04-03T12:06:00Z"/>
        <d v="2016-04-03T13:25:00Z"/>
        <d v="2016-04-03T14:09:00Z"/>
        <d v="2016-04-03T16:08:00Z"/>
        <d v="2016-04-03T16:22:00Z"/>
        <d v="2016-04-03T17:12:00Z"/>
        <d v="2016-04-03T19:08:00Z"/>
        <d v="2016-04-03T19:25:00Z"/>
        <d v="2016-05-03T11:59:00Z"/>
        <d v="2016-05-03T13:12:00Z"/>
        <d v="2016-05-03T14:18:00Z"/>
        <d v="2016-05-03T15:01:00Z"/>
        <d v="2016-05-03T17:13:00Z"/>
        <d v="2016-05-03T17:34:00Z"/>
        <d v="2016-07-03T09:20:00Z"/>
        <d v="2016-07-03T09:47:00Z"/>
        <d v="2016-07-03T12:26:00Z"/>
        <d v="2016-07-03T14:18:00Z"/>
        <d v="2016-07-03T15:45:00Z"/>
        <d v="2016-08-03T14:55:00Z"/>
        <d v="2016-08-03T16:00:00Z"/>
        <d v="2016-08-03T16:25:00Z"/>
        <d v="2016-10-03T03:53:00Z"/>
        <d v="2016-10-03T10:37:00Z"/>
        <d v="2016-10-03T14:55:00Z"/>
        <d v="2016-10-03T16:28:00Z"/>
        <d v="2016-11-03T09:59:00Z"/>
        <d v="2016-11-03T10:36:00Z"/>
        <d v="2016-11-03T12:04:00Z"/>
        <d v="2016-11-03T13:51:00Z"/>
        <d v="2016-11-03T19:35:00Z"/>
        <d v="2016-12-03T09:22:00Z"/>
        <d v="2016-12-03T18:37:00Z"/>
      </sharedItems>
    </cacheField>
    <cacheField name="CATEGORY" numFmtId="0">
      <sharedItems>
        <s v="Business"/>
        <s v="Personal"/>
      </sharedItems>
    </cacheField>
    <cacheField name="START" numFmtId="0">
      <sharedItems>
        <s v="Fort Pierce"/>
        <s v="West Palm Beach"/>
        <s v="Cary"/>
        <s v="Jamaica"/>
        <s v="New York"/>
        <s v="Elmhurst"/>
        <s v="Midtown"/>
        <s v="East Harlem"/>
        <s v="Flatiron District"/>
        <s v="Midtown East"/>
        <s v="Hudson Square"/>
        <s v="Lower Manhattan"/>
        <s v="Hell's Kitchen"/>
        <s v="Chapel Hill"/>
        <s v="Northwoods"/>
        <s v="Whitebridge"/>
        <s v="Morrisville"/>
        <s v="Durham"/>
        <s v="Raleigh"/>
        <s v="Edgehill Farms"/>
        <s v="Apex"/>
        <s v="Tanglewood"/>
        <s v="Preston"/>
        <s v="Eastgate"/>
        <s v="Wayne Ridge"/>
        <s v="Westpark Place"/>
        <s v="Fayetteville Street"/>
        <s v="Weston"/>
        <s v="Meredith Townes"/>
        <s v="Waverly Place"/>
        <s v="East Austin"/>
        <s v="West University"/>
        <s v="South Congress"/>
        <s v="The Drag"/>
        <s v="Congress Ave District"/>
        <s v="Downtown"/>
        <s v="Red River District"/>
      </sharedItems>
    </cacheField>
    <cacheField name="STOP" numFmtId="0">
      <sharedItems>
        <s v="Fort Pierce"/>
        <s v="West Palm Beach"/>
        <s v="Palm Beach"/>
        <s v="Cary"/>
        <s v="Morrisville"/>
        <s v="New York"/>
        <s v="Queens"/>
        <s v="East Harlem"/>
        <s v="NoMad"/>
        <s v="Midtown"/>
        <s v="Midtown East"/>
        <s v="Hudson Square"/>
        <s v="Lower Manhattan"/>
        <s v="Hell's Kitchen"/>
        <s v="Queens County"/>
        <s v="Chapel Hill"/>
        <s v="Whitebridge"/>
        <s v="Williamsburg Manor"/>
        <s v="Macgregor Downs"/>
        <s v="Durham"/>
        <s v="Raleigh"/>
        <s v="Apex"/>
        <s v="Edgehill Farms"/>
        <s v="Northwoods"/>
        <s v="Tanglewood"/>
        <s v="Preston"/>
        <s v="Walnut Terrace"/>
        <s v="Wayne Ridge"/>
        <s v="Westpark Place"/>
        <s v="Depot Historic District"/>
        <s v="Weston"/>
        <s v="Meredith Townes"/>
        <s v="Leesville Hollow"/>
        <s v="Waverly Place"/>
        <s v="West University"/>
        <s v="South Congress"/>
        <s v="Arts District"/>
        <s v="Congress Ave District"/>
        <s v="Downtown"/>
        <s v="Red River District"/>
        <s v="The Drag"/>
      </sharedItems>
    </cacheField>
    <cacheField name="MILES" numFmtId="0">
      <sharedItems containsSemiMixedTypes="0" containsString="0" containsNumber="1">
        <n v="5.1"/>
        <n v="5.0"/>
        <n v="4.8"/>
        <n v="4.7"/>
        <n v="63.7"/>
        <n v="4.3"/>
        <n v="7.1"/>
        <n v="0.8"/>
        <n v="8.3"/>
        <n v="16.5"/>
        <n v="10.8"/>
        <n v="7.5"/>
        <n v="6.2"/>
        <n v="6.4"/>
        <n v="1.6"/>
        <n v="1.7"/>
        <n v="1.9"/>
        <n v="4.0"/>
        <n v="1.8"/>
        <n v="2.4"/>
        <n v="2.0"/>
        <n v="15.1"/>
        <n v="19.4"/>
        <n v="23.3"/>
        <n v="3.9"/>
        <n v="6.0"/>
        <n v="5.2"/>
        <n v="9.7"/>
        <n v="1.1"/>
        <n v="9.0"/>
        <n v="7.7"/>
        <n v="10.4"/>
        <n v="11.4"/>
        <n v="3.2"/>
        <n v="5.6"/>
        <n v="5.7"/>
        <n v="6.1"/>
        <n v="2.7"/>
        <n v="5.3"/>
        <n v="3.0"/>
        <n v="1.5"/>
        <n v="17.3"/>
        <n v="13.5"/>
        <n v="8.5"/>
        <n v="2.6"/>
        <n v="17.0"/>
        <n v="18.0"/>
        <n v="8.4"/>
        <n v="11.5"/>
        <n v="8.0"/>
        <n v="2.2"/>
        <n v="2.3"/>
        <n v="7.6"/>
        <n v="9.9"/>
        <n v="10.9"/>
        <n v="15.7"/>
        <n v="4.9"/>
        <n v="6.5"/>
        <n v="4.2"/>
        <n v="3.5"/>
        <n v="7.8"/>
        <n v="2.8"/>
        <n v="12.4"/>
        <n v="5.9"/>
        <n v="9.4"/>
        <n v="11.9"/>
        <n v="7.2"/>
        <n v="12.8"/>
        <n v="1.2"/>
        <n v="1.0"/>
        <n v="2.1"/>
      </sharedItems>
    </cacheField>
    <cacheField name="PURPOSE" numFmtId="0">
      <sharedItems containsBlank="1">
        <s v="Meal/Entertain"/>
        <m/>
        <s v="Errand/Supplies"/>
        <s v="Meeting"/>
        <s v="Customer Visit"/>
        <s v="Temporary Site"/>
        <s v="Between Office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Solutions" cacheId="0" dataCaption="" compact="0" compactData="0">
  <location ref="B24:D32" firstHeaderRow="0" firstDataRow="2" firstDataCol="0"/>
  <pivotFields>
    <pivotField name="Rid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t="default"/>
      </items>
    </pivotField>
    <pivotField name="START_DATE" compact="0" numFmtId="2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t="default"/>
      </items>
    </pivotField>
    <pivotField name="END_DATE" compact="0" numFmtId="2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t="default"/>
      </items>
    </pivotField>
    <pivotField name="CATEGORY" compact="0" outline="0" multipleItemSelectionAllowed="1" showAll="0">
      <items>
        <item x="0"/>
        <item x="1"/>
        <item t="default"/>
      </items>
    </pivotField>
    <pivotField name="STA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STO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MI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PURPOS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ravel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Start_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WeekDay" axis="axisRow" dataField="1" compact="0" outline="0" multipleItemSelectionAllowed="1" showAll="0" sortType="ascending">
      <items>
        <item x="0"/>
        <item x="1"/>
        <item x="4"/>
        <item x="2"/>
        <item x="6"/>
        <item x="5"/>
        <item x="3"/>
        <item t="default"/>
      </items>
    </pivotField>
  </pivotFields>
  <rowFields>
    <field x="10"/>
  </rowFields>
  <colFields>
    <field x="-2"/>
  </colFields>
  <dataFields>
    <dataField name="Count of WeekDay" fld="10" subtotal="count" baseField="0"/>
    <dataField name="Percentage" fld="10" subtotal="count" showDataAs="percentOfTotal" baseField="0" numFmtId="10"/>
  </dataFields>
</pivotTableDefinition>
</file>

<file path=xl/pivotTables/pivotTable2.xml><?xml version="1.0" encoding="utf-8"?>
<pivotTableDefinition xmlns="http://schemas.openxmlformats.org/spreadsheetml/2006/main" name="Solutions 2" cacheId="1" dataCaption="" compact="0" compactData="0">
  <location ref="B63:D71" firstHeaderRow="0" firstDataRow="2" firstDataCol="0"/>
  <pivotFields>
    <pivotField name="Rid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t="default"/>
      </items>
    </pivotField>
    <pivotField name="START_DATE" compact="0" numFmtId="2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t="default"/>
      </items>
    </pivotField>
    <pivotField name="END_DATE" compact="0" numFmtId="2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t="default"/>
      </items>
    </pivotField>
    <pivotField name="CATEGORY" compact="0" outline="0" multipleItemSelectionAllowed="1" showAll="0">
      <items>
        <item x="0"/>
        <item x="1"/>
        <item t="default"/>
      </items>
    </pivotField>
    <pivotField name="STA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STO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MI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PURPOSE" axis="axisRow" dataField="1" compact="0" outline="0" multipleItemSelectionAllowed="1" showAll="0" sortType="ascending">
      <items>
        <item x="1"/>
        <item x="6"/>
        <item x="4"/>
        <item x="2"/>
        <item x="0"/>
        <item x="3"/>
        <item x="5"/>
        <item t="default"/>
      </items>
    </pivotField>
  </pivotFields>
  <rowFields>
    <field x="7"/>
  </rowFields>
  <colFields>
    <field x="-2"/>
  </colFields>
  <dataFields>
    <dataField name="Count of PURPOSE" fld="7" subtotal="count" baseField="0"/>
    <dataField name="Percent" fld="7" subtotal="count" showDataAs="percentOfTotal" baseField="0" numFmtId="1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14"/>
    <col customWidth="1" min="3" max="3" width="16.57"/>
    <col customWidth="1" min="4" max="4" width="12.14"/>
    <col customWidth="1" min="5" max="5" width="19.57"/>
    <col customWidth="1" min="6" max="6" width="17.0"/>
    <col customWidth="1" min="7" max="7" width="8.71"/>
    <col customWidth="1" min="8" max="8" width="16.86"/>
    <col customWidth="1" min="9" max="9" width="14.0"/>
    <col customWidth="1" min="10" max="10" width="9.86"/>
    <col customWidth="1" min="11" max="11" width="12.0"/>
    <col customWidth="1" min="12" max="12" width="10.71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4.25" customHeight="1">
      <c r="A2" s="3" t="s">
        <v>12</v>
      </c>
      <c r="B2" s="4">
        <v>42370.88263888889</v>
      </c>
      <c r="C2" s="4">
        <v>42370.88680555556</v>
      </c>
      <c r="D2" s="3" t="s">
        <v>13</v>
      </c>
      <c r="E2" s="3" t="s">
        <v>14</v>
      </c>
      <c r="F2" s="3" t="s">
        <v>14</v>
      </c>
      <c r="G2" s="3">
        <v>5.1</v>
      </c>
      <c r="H2" s="3" t="s">
        <v>15</v>
      </c>
      <c r="I2" s="3" t="str">
        <f t="shared" ref="I2:I106" si="1">HOUR(C2-B2)&amp;" hrs " &amp; MINUTE(C2-B2) &amp; " mins"</f>
        <v>0 hrs 6 mins</v>
      </c>
      <c r="J2" s="3">
        <f t="shared" ref="J2:J106" si="2">HOUR(B2)</f>
        <v>21</v>
      </c>
      <c r="K2" s="3" t="str">
        <f t="shared" ref="K2:K106" si="3">TEXT(B2,"dddd")</f>
        <v>Friday</v>
      </c>
      <c r="L2" s="3" t="str">
        <f t="shared" ref="L2:L106" si="4">IF(E2=F2,"To and Fro", "One Way")</f>
        <v>To and Fro</v>
      </c>
    </row>
    <row r="3" ht="14.25" customHeight="1">
      <c r="A3" s="3" t="s">
        <v>16</v>
      </c>
      <c r="B3" s="4">
        <v>42401.05902777778</v>
      </c>
      <c r="C3" s="4">
        <v>42401.06736111111</v>
      </c>
      <c r="D3" s="3" t="s">
        <v>13</v>
      </c>
      <c r="E3" s="3" t="s">
        <v>14</v>
      </c>
      <c r="F3" s="3" t="s">
        <v>14</v>
      </c>
      <c r="G3" s="3">
        <v>5.0</v>
      </c>
      <c r="I3" s="3" t="str">
        <f t="shared" si="1"/>
        <v>0 hrs 12 mins</v>
      </c>
      <c r="J3" s="3">
        <f t="shared" si="2"/>
        <v>1</v>
      </c>
      <c r="K3" s="3" t="str">
        <f t="shared" si="3"/>
        <v>Monday</v>
      </c>
      <c r="L3" s="3" t="str">
        <f t="shared" si="4"/>
        <v>To and Fro</v>
      </c>
    </row>
    <row r="4" ht="14.25" customHeight="1">
      <c r="A4" s="3" t="s">
        <v>17</v>
      </c>
      <c r="B4" s="4">
        <v>42401.850694444445</v>
      </c>
      <c r="C4" s="4">
        <v>42401.85972222222</v>
      </c>
      <c r="D4" s="3" t="s">
        <v>13</v>
      </c>
      <c r="E4" s="3" t="s">
        <v>14</v>
      </c>
      <c r="F4" s="3" t="s">
        <v>14</v>
      </c>
      <c r="G4" s="3">
        <v>4.8</v>
      </c>
      <c r="H4" s="3" t="s">
        <v>18</v>
      </c>
      <c r="I4" s="3" t="str">
        <f t="shared" si="1"/>
        <v>0 hrs 13 mins</v>
      </c>
      <c r="J4" s="3">
        <f t="shared" si="2"/>
        <v>20</v>
      </c>
      <c r="K4" s="3" t="str">
        <f t="shared" si="3"/>
        <v>Monday</v>
      </c>
      <c r="L4" s="3" t="str">
        <f t="shared" si="4"/>
        <v>To and Fro</v>
      </c>
    </row>
    <row r="5" ht="14.25" customHeight="1">
      <c r="A5" s="3" t="s">
        <v>19</v>
      </c>
      <c r="B5" s="4">
        <v>42491.72986111111</v>
      </c>
      <c r="C5" s="4">
        <v>42491.739583333336</v>
      </c>
      <c r="D5" s="3" t="s">
        <v>13</v>
      </c>
      <c r="E5" s="3" t="s">
        <v>14</v>
      </c>
      <c r="F5" s="3" t="s">
        <v>14</v>
      </c>
      <c r="G5" s="3">
        <v>4.7</v>
      </c>
      <c r="H5" s="3" t="s">
        <v>20</v>
      </c>
      <c r="I5" s="3" t="str">
        <f t="shared" si="1"/>
        <v>0 hrs 14 mins</v>
      </c>
      <c r="J5" s="3">
        <f t="shared" si="2"/>
        <v>17</v>
      </c>
      <c r="K5" s="3" t="str">
        <f t="shared" si="3"/>
        <v>Sunday</v>
      </c>
      <c r="L5" s="3" t="str">
        <f t="shared" si="4"/>
        <v>To and Fro</v>
      </c>
    </row>
    <row r="6" ht="14.25" customHeight="1">
      <c r="A6" s="3" t="s">
        <v>21</v>
      </c>
      <c r="B6" s="4">
        <v>42522.6125</v>
      </c>
      <c r="C6" s="4">
        <v>42522.65902777778</v>
      </c>
      <c r="D6" s="3" t="s">
        <v>13</v>
      </c>
      <c r="E6" s="3" t="s">
        <v>14</v>
      </c>
      <c r="F6" s="3" t="s">
        <v>22</v>
      </c>
      <c r="G6" s="3">
        <v>63.7</v>
      </c>
      <c r="H6" s="3" t="s">
        <v>23</v>
      </c>
      <c r="I6" s="3" t="str">
        <f t="shared" si="1"/>
        <v>1 hrs 7 mins</v>
      </c>
      <c r="J6" s="3">
        <f t="shared" si="2"/>
        <v>14</v>
      </c>
      <c r="K6" s="3" t="str">
        <f t="shared" si="3"/>
        <v>Wednesday</v>
      </c>
      <c r="L6" s="3" t="str">
        <f t="shared" si="4"/>
        <v>One Way</v>
      </c>
    </row>
    <row r="7" ht="14.25" customHeight="1">
      <c r="A7" s="3" t="s">
        <v>24</v>
      </c>
      <c r="B7" s="4">
        <v>42522.71875</v>
      </c>
      <c r="C7" s="4">
        <v>42522.72152777778</v>
      </c>
      <c r="D7" s="3" t="s">
        <v>13</v>
      </c>
      <c r="E7" s="3" t="s">
        <v>22</v>
      </c>
      <c r="F7" s="3" t="s">
        <v>22</v>
      </c>
      <c r="G7" s="3">
        <v>4.3</v>
      </c>
      <c r="H7" s="3" t="s">
        <v>15</v>
      </c>
      <c r="I7" s="3" t="str">
        <f t="shared" si="1"/>
        <v>0 hrs 4 mins</v>
      </c>
      <c r="J7" s="3">
        <f t="shared" si="2"/>
        <v>17</v>
      </c>
      <c r="K7" s="3" t="str">
        <f t="shared" si="3"/>
        <v>Wednesday</v>
      </c>
      <c r="L7" s="3" t="str">
        <f t="shared" si="4"/>
        <v>To and Fro</v>
      </c>
    </row>
    <row r="8" ht="14.25" customHeight="1">
      <c r="A8" s="3" t="s">
        <v>25</v>
      </c>
      <c r="B8" s="4">
        <v>42522.729166666664</v>
      </c>
      <c r="C8" s="4">
        <v>42522.73263888889</v>
      </c>
      <c r="D8" s="3" t="s">
        <v>13</v>
      </c>
      <c r="E8" s="3" t="s">
        <v>22</v>
      </c>
      <c r="F8" s="3" t="s">
        <v>26</v>
      </c>
      <c r="G8" s="3">
        <v>7.1</v>
      </c>
      <c r="H8" s="3" t="s">
        <v>20</v>
      </c>
      <c r="I8" s="3" t="str">
        <f t="shared" si="1"/>
        <v>0 hrs 5 mins</v>
      </c>
      <c r="J8" s="3">
        <f t="shared" si="2"/>
        <v>17</v>
      </c>
      <c r="K8" s="3" t="str">
        <f t="shared" si="3"/>
        <v>Wednesday</v>
      </c>
      <c r="L8" s="3" t="str">
        <f t="shared" si="4"/>
        <v>One Way</v>
      </c>
    </row>
    <row r="9" ht="14.25" customHeight="1">
      <c r="A9" s="3" t="s">
        <v>27</v>
      </c>
      <c r="B9" s="4">
        <v>42552.56041666667</v>
      </c>
      <c r="C9" s="4">
        <v>42552.56458333333</v>
      </c>
      <c r="D9" s="3" t="s">
        <v>13</v>
      </c>
      <c r="E9" s="3" t="s">
        <v>28</v>
      </c>
      <c r="F9" s="3" t="s">
        <v>28</v>
      </c>
      <c r="G9" s="3">
        <v>0.8</v>
      </c>
      <c r="H9" s="3" t="s">
        <v>20</v>
      </c>
      <c r="I9" s="3" t="str">
        <f t="shared" si="1"/>
        <v>0 hrs 6 mins</v>
      </c>
      <c r="J9" s="3">
        <f t="shared" si="2"/>
        <v>13</v>
      </c>
      <c r="K9" s="3" t="str">
        <f t="shared" si="3"/>
        <v>Friday</v>
      </c>
      <c r="L9" s="3" t="str">
        <f t="shared" si="4"/>
        <v>To and Fro</v>
      </c>
    </row>
    <row r="10" ht="14.25" customHeight="1">
      <c r="A10" s="3" t="s">
        <v>29</v>
      </c>
      <c r="B10" s="4">
        <v>42644.336805555555</v>
      </c>
      <c r="C10" s="4">
        <v>42644.350694444445</v>
      </c>
      <c r="D10" s="3" t="s">
        <v>13</v>
      </c>
      <c r="E10" s="3" t="s">
        <v>28</v>
      </c>
      <c r="F10" s="3" t="s">
        <v>30</v>
      </c>
      <c r="G10" s="3">
        <v>8.3</v>
      </c>
      <c r="H10" s="3" t="s">
        <v>20</v>
      </c>
      <c r="I10" s="3" t="str">
        <f t="shared" si="1"/>
        <v>0 hrs 20 mins</v>
      </c>
      <c r="J10" s="3">
        <f t="shared" si="2"/>
        <v>8</v>
      </c>
      <c r="K10" s="3" t="str">
        <f t="shared" si="3"/>
        <v>Saturday</v>
      </c>
      <c r="L10" s="3" t="str">
        <f t="shared" si="4"/>
        <v>One Way</v>
      </c>
    </row>
    <row r="11" ht="14.25" customHeight="1">
      <c r="A11" s="3" t="s">
        <v>31</v>
      </c>
      <c r="B11" s="4">
        <v>42644.51180555556</v>
      </c>
      <c r="C11" s="4">
        <v>42644.53055555555</v>
      </c>
      <c r="D11" s="3" t="s">
        <v>13</v>
      </c>
      <c r="E11" s="3" t="s">
        <v>32</v>
      </c>
      <c r="F11" s="3" t="s">
        <v>33</v>
      </c>
      <c r="G11" s="3">
        <v>16.5</v>
      </c>
      <c r="H11" s="3" t="s">
        <v>23</v>
      </c>
      <c r="I11" s="3" t="str">
        <f t="shared" si="1"/>
        <v>0 hrs 27 mins</v>
      </c>
      <c r="J11" s="3">
        <f t="shared" si="2"/>
        <v>12</v>
      </c>
      <c r="K11" s="3" t="str">
        <f t="shared" si="3"/>
        <v>Saturday</v>
      </c>
      <c r="L11" s="3" t="str">
        <f t="shared" si="4"/>
        <v>One Way</v>
      </c>
    </row>
    <row r="12" ht="14.25" customHeight="1">
      <c r="A12" s="3" t="s">
        <v>34</v>
      </c>
      <c r="B12" s="4">
        <v>42644.63055555556</v>
      </c>
      <c r="C12" s="4">
        <v>42644.660416666666</v>
      </c>
      <c r="D12" s="3" t="s">
        <v>13</v>
      </c>
      <c r="E12" s="3" t="s">
        <v>33</v>
      </c>
      <c r="F12" s="3" t="s">
        <v>35</v>
      </c>
      <c r="G12" s="3">
        <v>10.8</v>
      </c>
      <c r="H12" s="3" t="s">
        <v>20</v>
      </c>
      <c r="I12" s="3" t="str">
        <f t="shared" si="1"/>
        <v>0 hrs 43 mins</v>
      </c>
      <c r="J12" s="3">
        <f t="shared" si="2"/>
        <v>15</v>
      </c>
      <c r="K12" s="3" t="str">
        <f t="shared" si="3"/>
        <v>Saturday</v>
      </c>
      <c r="L12" s="3" t="str">
        <f t="shared" si="4"/>
        <v>One Way</v>
      </c>
    </row>
    <row r="13" ht="14.25" customHeight="1">
      <c r="A13" s="3" t="s">
        <v>36</v>
      </c>
      <c r="B13" s="4">
        <v>42644.7625</v>
      </c>
      <c r="C13" s="4">
        <v>42644.78680555556</v>
      </c>
      <c r="D13" s="3" t="s">
        <v>13</v>
      </c>
      <c r="E13" s="3" t="s">
        <v>37</v>
      </c>
      <c r="F13" s="3" t="s">
        <v>33</v>
      </c>
      <c r="G13" s="3">
        <v>7.5</v>
      </c>
      <c r="H13" s="3" t="s">
        <v>20</v>
      </c>
      <c r="I13" s="3" t="str">
        <f t="shared" si="1"/>
        <v>0 hrs 35 mins</v>
      </c>
      <c r="J13" s="3">
        <f t="shared" si="2"/>
        <v>18</v>
      </c>
      <c r="K13" s="3" t="str">
        <f t="shared" si="3"/>
        <v>Saturday</v>
      </c>
      <c r="L13" s="3" t="str">
        <f t="shared" si="4"/>
        <v>One Way</v>
      </c>
    </row>
    <row r="14" ht="14.25" customHeight="1">
      <c r="A14" s="3" t="s">
        <v>38</v>
      </c>
      <c r="B14" s="4">
        <v>42644.8</v>
      </c>
      <c r="C14" s="4">
        <v>42644.813888888886</v>
      </c>
      <c r="D14" s="3" t="s">
        <v>13</v>
      </c>
      <c r="E14" s="3" t="s">
        <v>39</v>
      </c>
      <c r="F14" s="3" t="s">
        <v>40</v>
      </c>
      <c r="G14" s="3">
        <v>6.2</v>
      </c>
      <c r="H14" s="3" t="s">
        <v>20</v>
      </c>
      <c r="I14" s="3" t="str">
        <f t="shared" si="1"/>
        <v>0 hrs 20 mins</v>
      </c>
      <c r="J14" s="3">
        <f t="shared" si="2"/>
        <v>19</v>
      </c>
      <c r="K14" s="3" t="str">
        <f t="shared" si="3"/>
        <v>Saturday</v>
      </c>
      <c r="L14" s="3" t="str">
        <f t="shared" si="4"/>
        <v>One Way</v>
      </c>
    </row>
    <row r="15" ht="14.25" customHeight="1">
      <c r="A15" s="3" t="s">
        <v>41</v>
      </c>
      <c r="B15" s="4">
        <v>42675.37152777778</v>
      </c>
      <c r="C15" s="4">
        <v>42675.38958333333</v>
      </c>
      <c r="D15" s="3" t="s">
        <v>13</v>
      </c>
      <c r="E15" s="3" t="s">
        <v>40</v>
      </c>
      <c r="F15" s="3" t="s">
        <v>42</v>
      </c>
      <c r="G15" s="3">
        <v>6.4</v>
      </c>
      <c r="H15" s="3" t="s">
        <v>43</v>
      </c>
      <c r="I15" s="3" t="str">
        <f t="shared" si="1"/>
        <v>0 hrs 26 mins</v>
      </c>
      <c r="J15" s="3">
        <f t="shared" si="2"/>
        <v>8</v>
      </c>
      <c r="K15" s="3" t="str">
        <f t="shared" si="3"/>
        <v>Tuesday</v>
      </c>
      <c r="L15" s="3" t="str">
        <f t="shared" si="4"/>
        <v>One Way</v>
      </c>
    </row>
    <row r="16" ht="14.25" customHeight="1">
      <c r="A16" s="3" t="s">
        <v>44</v>
      </c>
      <c r="B16" s="4">
        <v>42675.49722222222</v>
      </c>
      <c r="C16" s="4">
        <v>42675.50208333333</v>
      </c>
      <c r="D16" s="3" t="s">
        <v>13</v>
      </c>
      <c r="E16" s="3" t="s">
        <v>45</v>
      </c>
      <c r="F16" s="3" t="s">
        <v>39</v>
      </c>
      <c r="G16" s="3">
        <v>1.6</v>
      </c>
      <c r="H16" s="3" t="s">
        <v>18</v>
      </c>
      <c r="I16" s="3" t="str">
        <f t="shared" si="1"/>
        <v>0 hrs 7 mins</v>
      </c>
      <c r="J16" s="3">
        <f t="shared" si="2"/>
        <v>11</v>
      </c>
      <c r="K16" s="3" t="str">
        <f t="shared" si="3"/>
        <v>Tuesday</v>
      </c>
      <c r="L16" s="3" t="str">
        <f t="shared" si="4"/>
        <v>One Way</v>
      </c>
    </row>
    <row r="17" ht="14.25" customHeight="1">
      <c r="A17" s="3" t="s">
        <v>46</v>
      </c>
      <c r="B17" s="4">
        <v>42675.563888888886</v>
      </c>
      <c r="C17" s="4">
        <v>42675.57361111111</v>
      </c>
      <c r="D17" s="3" t="s">
        <v>13</v>
      </c>
      <c r="E17" s="3" t="s">
        <v>39</v>
      </c>
      <c r="F17" s="3" t="s">
        <v>47</v>
      </c>
      <c r="G17" s="3">
        <v>1.7</v>
      </c>
      <c r="H17" s="3" t="s">
        <v>15</v>
      </c>
      <c r="I17" s="3" t="str">
        <f t="shared" si="1"/>
        <v>0 hrs 14 mins</v>
      </c>
      <c r="J17" s="3">
        <f t="shared" si="2"/>
        <v>13</v>
      </c>
      <c r="K17" s="3" t="str">
        <f t="shared" si="3"/>
        <v>Tuesday</v>
      </c>
      <c r="L17" s="3" t="str">
        <f t="shared" si="4"/>
        <v>One Way</v>
      </c>
    </row>
    <row r="18" ht="14.25" customHeight="1">
      <c r="A18" s="3" t="s">
        <v>48</v>
      </c>
      <c r="B18" s="4">
        <v>42675.604166666664</v>
      </c>
      <c r="C18" s="4">
        <v>42675.61319444444</v>
      </c>
      <c r="D18" s="3" t="s">
        <v>13</v>
      </c>
      <c r="E18" s="3" t="s">
        <v>47</v>
      </c>
      <c r="F18" s="3" t="s">
        <v>39</v>
      </c>
      <c r="G18" s="3">
        <v>1.9</v>
      </c>
      <c r="H18" s="3" t="s">
        <v>15</v>
      </c>
      <c r="I18" s="3" t="str">
        <f t="shared" si="1"/>
        <v>0 hrs 13 mins</v>
      </c>
      <c r="J18" s="3">
        <f t="shared" si="2"/>
        <v>14</v>
      </c>
      <c r="K18" s="3" t="str">
        <f t="shared" si="3"/>
        <v>Tuesday</v>
      </c>
      <c r="L18" s="3" t="str">
        <f t="shared" si="4"/>
        <v>One Way</v>
      </c>
    </row>
    <row r="19" ht="14.25" customHeight="1">
      <c r="A19" s="3" t="s">
        <v>49</v>
      </c>
      <c r="B19" s="4">
        <v>42705.52291666667</v>
      </c>
      <c r="C19" s="4">
        <v>42705.53402777778</v>
      </c>
      <c r="D19" s="3" t="s">
        <v>13</v>
      </c>
      <c r="E19" s="3" t="s">
        <v>39</v>
      </c>
      <c r="F19" s="3" t="s">
        <v>50</v>
      </c>
      <c r="G19" s="3">
        <v>1.9</v>
      </c>
      <c r="H19" s="3" t="s">
        <v>15</v>
      </c>
      <c r="I19" s="3" t="str">
        <f t="shared" si="1"/>
        <v>0 hrs 16 mins</v>
      </c>
      <c r="J19" s="3">
        <f t="shared" si="2"/>
        <v>12</v>
      </c>
      <c r="K19" s="3" t="str">
        <f t="shared" si="3"/>
        <v>Thursday</v>
      </c>
      <c r="L19" s="3" t="str">
        <f t="shared" si="4"/>
        <v>One Way</v>
      </c>
    </row>
    <row r="20" ht="14.25" customHeight="1">
      <c r="A20" s="3" t="s">
        <v>51</v>
      </c>
      <c r="B20" s="4">
        <v>42705.53680555556</v>
      </c>
      <c r="C20" s="4">
        <v>42705.54791666667</v>
      </c>
      <c r="D20" s="3" t="s">
        <v>13</v>
      </c>
      <c r="E20" s="3" t="s">
        <v>50</v>
      </c>
      <c r="F20" s="3" t="s">
        <v>52</v>
      </c>
      <c r="G20" s="3">
        <v>4.0</v>
      </c>
      <c r="H20" s="3" t="s">
        <v>15</v>
      </c>
      <c r="I20" s="3" t="str">
        <f t="shared" si="1"/>
        <v>0 hrs 16 mins</v>
      </c>
      <c r="J20" s="3">
        <f t="shared" si="2"/>
        <v>12</v>
      </c>
      <c r="K20" s="3" t="str">
        <f t="shared" si="3"/>
        <v>Thursday</v>
      </c>
      <c r="L20" s="3" t="str">
        <f t="shared" si="4"/>
        <v>One Way</v>
      </c>
    </row>
    <row r="21" ht="14.25" customHeight="1">
      <c r="A21" s="3" t="s">
        <v>53</v>
      </c>
      <c r="B21" s="4">
        <v>42705.6125</v>
      </c>
      <c r="C21" s="4">
        <v>42705.62222222222</v>
      </c>
      <c r="D21" s="3" t="s">
        <v>13</v>
      </c>
      <c r="E21" s="3" t="s">
        <v>52</v>
      </c>
      <c r="F21" s="3" t="s">
        <v>50</v>
      </c>
      <c r="G21" s="3">
        <v>1.8</v>
      </c>
      <c r="H21" s="3" t="s">
        <v>18</v>
      </c>
      <c r="I21" s="3" t="str">
        <f t="shared" si="1"/>
        <v>0 hrs 14 mins</v>
      </c>
      <c r="J21" s="3">
        <f t="shared" si="2"/>
        <v>14</v>
      </c>
      <c r="K21" s="3" t="str">
        <f t="shared" si="3"/>
        <v>Thursday</v>
      </c>
      <c r="L21" s="3" t="str">
        <f t="shared" si="4"/>
        <v>One Way</v>
      </c>
    </row>
    <row r="22" ht="14.25" customHeight="1">
      <c r="A22" s="3" t="s">
        <v>54</v>
      </c>
      <c r="B22" s="4">
        <v>42705.63402777778</v>
      </c>
      <c r="C22" s="4">
        <v>42705.64444444444</v>
      </c>
      <c r="D22" s="3" t="s">
        <v>13</v>
      </c>
      <c r="E22" s="3" t="s">
        <v>50</v>
      </c>
      <c r="F22" s="3" t="s">
        <v>55</v>
      </c>
      <c r="G22" s="3">
        <v>2.4</v>
      </c>
      <c r="H22" s="3" t="s">
        <v>23</v>
      </c>
      <c r="I22" s="3" t="str">
        <f t="shared" si="1"/>
        <v>0 hrs 15 mins</v>
      </c>
      <c r="J22" s="3">
        <f t="shared" si="2"/>
        <v>15</v>
      </c>
      <c r="K22" s="3" t="str">
        <f t="shared" si="3"/>
        <v>Thursday</v>
      </c>
      <c r="L22" s="3" t="str">
        <f t="shared" si="4"/>
        <v>One Way</v>
      </c>
    </row>
    <row r="23" ht="14.25" customHeight="1">
      <c r="A23" s="3" t="s">
        <v>56</v>
      </c>
      <c r="B23" s="4">
        <v>42705.65416666667</v>
      </c>
      <c r="C23" s="4">
        <v>42705.6625</v>
      </c>
      <c r="D23" s="3" t="s">
        <v>13</v>
      </c>
      <c r="E23" s="3" t="s">
        <v>55</v>
      </c>
      <c r="F23" s="3" t="s">
        <v>39</v>
      </c>
      <c r="G23" s="3">
        <v>2.0</v>
      </c>
      <c r="H23" s="3" t="s">
        <v>18</v>
      </c>
      <c r="I23" s="3" t="str">
        <f t="shared" si="1"/>
        <v>0 hrs 12 mins</v>
      </c>
      <c r="J23" s="3">
        <f t="shared" si="2"/>
        <v>15</v>
      </c>
      <c r="K23" s="3" t="str">
        <f t="shared" si="3"/>
        <v>Thursday</v>
      </c>
      <c r="L23" s="3" t="str">
        <f t="shared" si="4"/>
        <v>One Way</v>
      </c>
    </row>
    <row r="24" ht="14.25" customHeight="1">
      <c r="A24" s="3" t="s">
        <v>57</v>
      </c>
      <c r="B24" s="4">
        <v>42705.66805555556</v>
      </c>
      <c r="C24" s="4">
        <v>42705.708333333336</v>
      </c>
      <c r="D24" s="3" t="s">
        <v>13</v>
      </c>
      <c r="E24" s="3" t="s">
        <v>33</v>
      </c>
      <c r="F24" s="3" t="s">
        <v>58</v>
      </c>
      <c r="G24" s="3">
        <v>15.1</v>
      </c>
      <c r="H24" s="3" t="s">
        <v>20</v>
      </c>
      <c r="I24" s="3" t="str">
        <f t="shared" si="1"/>
        <v>0 hrs 58 mins</v>
      </c>
      <c r="J24" s="3">
        <f t="shared" si="2"/>
        <v>16</v>
      </c>
      <c r="K24" s="3" t="str">
        <f t="shared" si="3"/>
        <v>Thursday</v>
      </c>
      <c r="L24" s="3" t="str">
        <f t="shared" si="4"/>
        <v>One Way</v>
      </c>
    </row>
    <row r="25" ht="14.25" customHeight="1">
      <c r="A25" s="3" t="s">
        <v>59</v>
      </c>
      <c r="B25" s="4">
        <v>42371.44097222222</v>
      </c>
      <c r="C25" s="4">
        <v>42371.46875</v>
      </c>
      <c r="D25" s="3" t="s">
        <v>13</v>
      </c>
      <c r="E25" s="3" t="s">
        <v>28</v>
      </c>
      <c r="F25" s="3" t="s">
        <v>60</v>
      </c>
      <c r="G25" s="3">
        <v>19.4</v>
      </c>
      <c r="H25" s="3" t="s">
        <v>23</v>
      </c>
      <c r="I25" s="3" t="str">
        <f t="shared" si="1"/>
        <v>0 hrs 40 mins</v>
      </c>
      <c r="J25" s="3">
        <f t="shared" si="2"/>
        <v>10</v>
      </c>
      <c r="K25" s="3" t="str">
        <f t="shared" si="3"/>
        <v>Saturday</v>
      </c>
      <c r="L25" s="3" t="str">
        <f t="shared" si="4"/>
        <v>One Way</v>
      </c>
    </row>
    <row r="26" ht="14.25" customHeight="1">
      <c r="A26" s="3" t="s">
        <v>61</v>
      </c>
      <c r="B26" s="4">
        <v>42371.506944444445</v>
      </c>
      <c r="C26" s="4">
        <v>42371.529861111114</v>
      </c>
      <c r="D26" s="3" t="s">
        <v>13</v>
      </c>
      <c r="E26" s="3" t="s">
        <v>60</v>
      </c>
      <c r="F26" s="3" t="s">
        <v>28</v>
      </c>
      <c r="G26" s="3">
        <v>23.3</v>
      </c>
      <c r="H26" s="3" t="s">
        <v>23</v>
      </c>
      <c r="I26" s="3" t="str">
        <f t="shared" si="1"/>
        <v>0 hrs 33 mins</v>
      </c>
      <c r="J26" s="3">
        <f t="shared" si="2"/>
        <v>12</v>
      </c>
      <c r="K26" s="3" t="str">
        <f t="shared" si="3"/>
        <v>Saturday</v>
      </c>
      <c r="L26" s="3" t="str">
        <f t="shared" si="4"/>
        <v>One Way</v>
      </c>
    </row>
    <row r="27" ht="14.25" customHeight="1">
      <c r="A27" s="3" t="s">
        <v>62</v>
      </c>
      <c r="B27" s="4">
        <v>42371.53888888889</v>
      </c>
      <c r="C27" s="4">
        <v>42371.54652777778</v>
      </c>
      <c r="D27" s="3" t="s">
        <v>13</v>
      </c>
      <c r="E27" s="3" t="s">
        <v>63</v>
      </c>
      <c r="F27" s="3" t="s">
        <v>64</v>
      </c>
      <c r="G27" s="3">
        <v>3.9</v>
      </c>
      <c r="H27" s="3" t="s">
        <v>15</v>
      </c>
      <c r="I27" s="3" t="str">
        <f t="shared" si="1"/>
        <v>0 hrs 11 mins</v>
      </c>
      <c r="J27" s="3">
        <f t="shared" si="2"/>
        <v>12</v>
      </c>
      <c r="K27" s="3" t="str">
        <f t="shared" si="3"/>
        <v>Saturday</v>
      </c>
      <c r="L27" s="3" t="str">
        <f t="shared" si="4"/>
        <v>One Way</v>
      </c>
    </row>
    <row r="28" ht="14.25" customHeight="1">
      <c r="A28" s="3" t="s">
        <v>65</v>
      </c>
      <c r="B28" s="4">
        <v>42402.544444444444</v>
      </c>
      <c r="C28" s="4">
        <v>42402.55763888889</v>
      </c>
      <c r="D28" s="3" t="s">
        <v>13</v>
      </c>
      <c r="E28" s="3" t="s">
        <v>64</v>
      </c>
      <c r="F28" s="3" t="s">
        <v>66</v>
      </c>
      <c r="G28" s="3">
        <v>8.3</v>
      </c>
      <c r="H28" s="3" t="s">
        <v>20</v>
      </c>
      <c r="I28" s="3" t="str">
        <f t="shared" si="1"/>
        <v>0 hrs 19 mins</v>
      </c>
      <c r="J28" s="3">
        <f t="shared" si="2"/>
        <v>13</v>
      </c>
      <c r="K28" s="3" t="str">
        <f t="shared" si="3"/>
        <v>Tuesday</v>
      </c>
      <c r="L28" s="3" t="str">
        <f t="shared" si="4"/>
        <v>One Way</v>
      </c>
    </row>
    <row r="29" ht="14.25" customHeight="1">
      <c r="A29" s="3" t="s">
        <v>67</v>
      </c>
      <c r="B29" s="4">
        <v>42402.57708333333</v>
      </c>
      <c r="C29" s="4">
        <v>42402.5875</v>
      </c>
      <c r="D29" s="3" t="s">
        <v>13</v>
      </c>
      <c r="E29" s="3" t="s">
        <v>28</v>
      </c>
      <c r="F29" s="3" t="s">
        <v>28</v>
      </c>
      <c r="G29" s="3">
        <v>6.0</v>
      </c>
      <c r="H29" s="3" t="s">
        <v>18</v>
      </c>
      <c r="I29" s="3" t="str">
        <f t="shared" si="1"/>
        <v>0 hrs 15 mins</v>
      </c>
      <c r="J29" s="3">
        <f t="shared" si="2"/>
        <v>13</v>
      </c>
      <c r="K29" s="3" t="str">
        <f t="shared" si="3"/>
        <v>Tuesday</v>
      </c>
      <c r="L29" s="3" t="str">
        <f t="shared" si="4"/>
        <v>To and Fro</v>
      </c>
    </row>
    <row r="30" ht="14.25" customHeight="1">
      <c r="A30" s="3" t="s">
        <v>68</v>
      </c>
      <c r="B30" s="4">
        <v>42402.60972222222</v>
      </c>
      <c r="C30" s="4">
        <v>42402.6125</v>
      </c>
      <c r="D30" s="3" t="s">
        <v>13</v>
      </c>
      <c r="E30" s="3" t="s">
        <v>28</v>
      </c>
      <c r="F30" s="3" t="s">
        <v>28</v>
      </c>
      <c r="G30" s="3">
        <v>1.6</v>
      </c>
      <c r="H30" s="3" t="s">
        <v>18</v>
      </c>
      <c r="I30" s="3" t="str">
        <f t="shared" si="1"/>
        <v>0 hrs 4 mins</v>
      </c>
      <c r="J30" s="3">
        <f t="shared" si="2"/>
        <v>14</v>
      </c>
      <c r="K30" s="3" t="str">
        <f t="shared" si="3"/>
        <v>Tuesday</v>
      </c>
      <c r="L30" s="3" t="str">
        <f t="shared" si="4"/>
        <v>To and Fro</v>
      </c>
    </row>
    <row r="31" ht="14.25" customHeight="1">
      <c r="A31" s="3" t="s">
        <v>69</v>
      </c>
      <c r="B31" s="4">
        <v>42462.36111111111</v>
      </c>
      <c r="C31" s="4">
        <v>42462.37569444445</v>
      </c>
      <c r="D31" s="3" t="s">
        <v>13</v>
      </c>
      <c r="E31" s="3" t="s">
        <v>28</v>
      </c>
      <c r="F31" s="3" t="s">
        <v>30</v>
      </c>
      <c r="G31" s="3">
        <v>5.2</v>
      </c>
      <c r="H31" s="3" t="s">
        <v>18</v>
      </c>
      <c r="I31" s="3" t="str">
        <f t="shared" si="1"/>
        <v>0 hrs 21 mins</v>
      </c>
      <c r="J31" s="3">
        <f t="shared" si="2"/>
        <v>8</v>
      </c>
      <c r="K31" s="3" t="str">
        <f t="shared" si="3"/>
        <v>Saturday</v>
      </c>
      <c r="L31" s="3" t="str">
        <f t="shared" si="4"/>
        <v>One Way</v>
      </c>
    </row>
    <row r="32" ht="14.25" customHeight="1">
      <c r="A32" s="3" t="s">
        <v>70</v>
      </c>
      <c r="B32" s="4">
        <v>42462.40069444444</v>
      </c>
      <c r="C32" s="4">
        <v>42462.42291666667</v>
      </c>
      <c r="D32" s="3" t="s">
        <v>13</v>
      </c>
      <c r="E32" s="3" t="s">
        <v>30</v>
      </c>
      <c r="F32" s="3" t="s">
        <v>28</v>
      </c>
      <c r="G32" s="3">
        <v>9.7</v>
      </c>
      <c r="H32" s="3" t="s">
        <v>15</v>
      </c>
      <c r="I32" s="3" t="str">
        <f t="shared" si="1"/>
        <v>0 hrs 32 mins</v>
      </c>
      <c r="J32" s="3">
        <f t="shared" si="2"/>
        <v>9</v>
      </c>
      <c r="K32" s="3" t="str">
        <f t="shared" si="3"/>
        <v>Saturday</v>
      </c>
      <c r="L32" s="3" t="str">
        <f t="shared" si="4"/>
        <v>One Way</v>
      </c>
    </row>
    <row r="33" ht="14.25" customHeight="1">
      <c r="A33" s="3" t="s">
        <v>71</v>
      </c>
      <c r="B33" s="4">
        <v>42462.43472222222</v>
      </c>
      <c r="C33" s="4">
        <v>42462.438888888886</v>
      </c>
      <c r="D33" s="3" t="s">
        <v>13</v>
      </c>
      <c r="E33" s="3" t="s">
        <v>28</v>
      </c>
      <c r="F33" s="3" t="s">
        <v>28</v>
      </c>
      <c r="G33" s="3">
        <v>1.6</v>
      </c>
      <c r="H33" s="3" t="s">
        <v>15</v>
      </c>
      <c r="I33" s="3" t="str">
        <f t="shared" si="1"/>
        <v>0 hrs 6 mins</v>
      </c>
      <c r="J33" s="3">
        <f t="shared" si="2"/>
        <v>10</v>
      </c>
      <c r="K33" s="3" t="str">
        <f t="shared" si="3"/>
        <v>Saturday</v>
      </c>
      <c r="L33" s="3" t="str">
        <f t="shared" si="4"/>
        <v>To and Fro</v>
      </c>
    </row>
    <row r="34" ht="14.25" customHeight="1">
      <c r="A34" s="3" t="s">
        <v>72</v>
      </c>
      <c r="B34" s="4">
        <v>42462.665972222225</v>
      </c>
      <c r="C34" s="4">
        <v>42462.66875</v>
      </c>
      <c r="D34" s="3" t="s">
        <v>13</v>
      </c>
      <c r="E34" s="3" t="s">
        <v>28</v>
      </c>
      <c r="F34" s="3" t="s">
        <v>28</v>
      </c>
      <c r="G34" s="3">
        <v>1.1</v>
      </c>
      <c r="H34" s="3" t="s">
        <v>15</v>
      </c>
      <c r="I34" s="3" t="str">
        <f t="shared" si="1"/>
        <v>0 hrs 4 mins</v>
      </c>
      <c r="J34" s="3">
        <f t="shared" si="2"/>
        <v>15</v>
      </c>
      <c r="K34" s="3" t="str">
        <f t="shared" si="3"/>
        <v>Saturday</v>
      </c>
      <c r="L34" s="3" t="str">
        <f t="shared" si="4"/>
        <v>To and Fro</v>
      </c>
    </row>
    <row r="35" ht="14.25" customHeight="1">
      <c r="A35" s="3" t="s">
        <v>73</v>
      </c>
      <c r="B35" s="4">
        <v>42462.69097222222</v>
      </c>
      <c r="C35" s="4">
        <v>42462.69375</v>
      </c>
      <c r="D35" s="3" t="s">
        <v>13</v>
      </c>
      <c r="E35" s="3" t="s">
        <v>28</v>
      </c>
      <c r="F35" s="3" t="s">
        <v>28</v>
      </c>
      <c r="G35" s="3">
        <v>1.6</v>
      </c>
      <c r="H35" s="3" t="s">
        <v>15</v>
      </c>
      <c r="I35" s="3" t="str">
        <f t="shared" si="1"/>
        <v>0 hrs 4 mins</v>
      </c>
      <c r="J35" s="3">
        <f t="shared" si="2"/>
        <v>16</v>
      </c>
      <c r="K35" s="3" t="str">
        <f t="shared" si="3"/>
        <v>Saturday</v>
      </c>
      <c r="L35" s="3" t="str">
        <f t="shared" si="4"/>
        <v>To and Fro</v>
      </c>
    </row>
    <row r="36" ht="14.25" customHeight="1">
      <c r="A36" s="3" t="s">
        <v>74</v>
      </c>
      <c r="B36" s="4">
        <v>42462.75277777778</v>
      </c>
      <c r="C36" s="4">
        <v>42462.771527777775</v>
      </c>
      <c r="D36" s="3" t="s">
        <v>13</v>
      </c>
      <c r="E36" s="3" t="s">
        <v>64</v>
      </c>
      <c r="F36" s="3" t="s">
        <v>75</v>
      </c>
      <c r="G36" s="3">
        <v>9.0</v>
      </c>
      <c r="H36" s="3" t="s">
        <v>20</v>
      </c>
      <c r="I36" s="3" t="str">
        <f t="shared" si="1"/>
        <v>0 hrs 27 mins</v>
      </c>
      <c r="J36" s="3">
        <f t="shared" si="2"/>
        <v>18</v>
      </c>
      <c r="K36" s="3" t="str">
        <f t="shared" si="3"/>
        <v>Saturday</v>
      </c>
      <c r="L36" s="3" t="str">
        <f t="shared" si="4"/>
        <v>One Way</v>
      </c>
    </row>
    <row r="37" ht="14.25" customHeight="1">
      <c r="A37" s="3" t="s">
        <v>76</v>
      </c>
      <c r="B37" s="4">
        <v>42462.85833333333</v>
      </c>
      <c r="C37" s="4">
        <v>42462.87152777778</v>
      </c>
      <c r="D37" s="3" t="s">
        <v>13</v>
      </c>
      <c r="E37" s="3" t="s">
        <v>28</v>
      </c>
      <c r="F37" s="3" t="s">
        <v>28</v>
      </c>
      <c r="G37" s="3">
        <v>7.7</v>
      </c>
      <c r="H37" s="3" t="s">
        <v>20</v>
      </c>
      <c r="I37" s="3" t="str">
        <f t="shared" si="1"/>
        <v>0 hrs 19 mins</v>
      </c>
      <c r="J37" s="3">
        <f t="shared" si="2"/>
        <v>20</v>
      </c>
      <c r="K37" s="3" t="str">
        <f t="shared" si="3"/>
        <v>Saturday</v>
      </c>
      <c r="L37" s="3" t="str">
        <f t="shared" si="4"/>
        <v>To and Fro</v>
      </c>
    </row>
    <row r="38" ht="14.25" customHeight="1">
      <c r="A38" s="3" t="s">
        <v>77</v>
      </c>
      <c r="B38" s="4">
        <v>42492.49097222222</v>
      </c>
      <c r="C38" s="4">
        <v>42492.50486111111</v>
      </c>
      <c r="D38" s="3" t="s">
        <v>13</v>
      </c>
      <c r="E38" s="3" t="s">
        <v>28</v>
      </c>
      <c r="F38" s="3" t="s">
        <v>78</v>
      </c>
      <c r="G38" s="3">
        <v>10.4</v>
      </c>
      <c r="H38" s="3" t="s">
        <v>20</v>
      </c>
      <c r="I38" s="3" t="str">
        <f t="shared" si="1"/>
        <v>0 hrs 20 mins</v>
      </c>
      <c r="J38" s="3">
        <f t="shared" si="2"/>
        <v>11</v>
      </c>
      <c r="K38" s="3" t="str">
        <f t="shared" si="3"/>
        <v>Monday</v>
      </c>
      <c r="L38" s="3" t="str">
        <f t="shared" si="4"/>
        <v>One Way</v>
      </c>
    </row>
    <row r="39" ht="14.25" customHeight="1">
      <c r="A39" s="3" t="s">
        <v>79</v>
      </c>
      <c r="B39" s="4">
        <v>42492.55694444444</v>
      </c>
      <c r="C39" s="4">
        <v>42492.57013888889</v>
      </c>
      <c r="D39" s="3" t="s">
        <v>13</v>
      </c>
      <c r="E39" s="3" t="s">
        <v>78</v>
      </c>
      <c r="F39" s="3" t="s">
        <v>28</v>
      </c>
      <c r="G39" s="3">
        <v>10.4</v>
      </c>
      <c r="H39" s="3" t="s">
        <v>20</v>
      </c>
      <c r="I39" s="3" t="str">
        <f t="shared" si="1"/>
        <v>0 hrs 19 mins</v>
      </c>
      <c r="J39" s="3">
        <f t="shared" si="2"/>
        <v>13</v>
      </c>
      <c r="K39" s="3" t="str">
        <f t="shared" si="3"/>
        <v>Monday</v>
      </c>
      <c r="L39" s="3" t="str">
        <f t="shared" si="4"/>
        <v>One Way</v>
      </c>
    </row>
    <row r="40" ht="14.25" customHeight="1">
      <c r="A40" s="3" t="s">
        <v>80</v>
      </c>
      <c r="B40" s="4">
        <v>42523.680555555555</v>
      </c>
      <c r="C40" s="4">
        <v>42523.70347222222</v>
      </c>
      <c r="D40" s="3" t="s">
        <v>13</v>
      </c>
      <c r="E40" s="3" t="s">
        <v>28</v>
      </c>
      <c r="F40" s="3" t="s">
        <v>81</v>
      </c>
      <c r="G40" s="3">
        <v>11.4</v>
      </c>
      <c r="H40" s="3" t="s">
        <v>82</v>
      </c>
      <c r="I40" s="3" t="str">
        <f t="shared" si="1"/>
        <v>0 hrs 33 mins</v>
      </c>
      <c r="J40" s="3">
        <f t="shared" si="2"/>
        <v>16</v>
      </c>
      <c r="K40" s="3" t="str">
        <f t="shared" si="3"/>
        <v>Thursday</v>
      </c>
      <c r="L40" s="3" t="str">
        <f t="shared" si="4"/>
        <v>One Way</v>
      </c>
    </row>
    <row r="41" ht="14.25" customHeight="1">
      <c r="A41" s="3" t="s">
        <v>83</v>
      </c>
      <c r="B41" s="4">
        <v>42523.78958333333</v>
      </c>
      <c r="C41" s="4">
        <v>42523.80625</v>
      </c>
      <c r="D41" s="3" t="s">
        <v>13</v>
      </c>
      <c r="E41" s="3" t="s">
        <v>81</v>
      </c>
      <c r="F41" s="3" t="s">
        <v>28</v>
      </c>
      <c r="G41" s="3">
        <v>9.0</v>
      </c>
      <c r="H41" s="3" t="s">
        <v>18</v>
      </c>
      <c r="I41" s="3" t="str">
        <f t="shared" si="1"/>
        <v>0 hrs 24 mins</v>
      </c>
      <c r="J41" s="3">
        <f t="shared" si="2"/>
        <v>18</v>
      </c>
      <c r="K41" s="3" t="str">
        <f t="shared" si="3"/>
        <v>Thursday</v>
      </c>
      <c r="L41" s="3" t="str">
        <f t="shared" si="4"/>
        <v>One Way</v>
      </c>
    </row>
    <row r="42" ht="14.25" customHeight="1">
      <c r="A42" s="3" t="s">
        <v>84</v>
      </c>
      <c r="B42" s="4">
        <v>42523.811111111114</v>
      </c>
      <c r="C42" s="4">
        <v>42523.81736111111</v>
      </c>
      <c r="D42" s="3" t="s">
        <v>13</v>
      </c>
      <c r="E42" s="3" t="s">
        <v>85</v>
      </c>
      <c r="F42" s="3" t="s">
        <v>64</v>
      </c>
      <c r="G42" s="3">
        <v>3.2</v>
      </c>
      <c r="H42" s="3" t="s">
        <v>15</v>
      </c>
      <c r="I42" s="3" t="str">
        <f t="shared" si="1"/>
        <v>0 hrs 9 mins</v>
      </c>
      <c r="J42" s="3">
        <f t="shared" si="2"/>
        <v>19</v>
      </c>
      <c r="K42" s="3" t="str">
        <f t="shared" si="3"/>
        <v>Thursday</v>
      </c>
      <c r="L42" s="3" t="str">
        <f t="shared" si="4"/>
        <v>One Way</v>
      </c>
    </row>
    <row r="43" ht="14.25" customHeight="1">
      <c r="A43" s="3" t="s">
        <v>86</v>
      </c>
      <c r="B43" s="4">
        <v>42553.700694444444</v>
      </c>
      <c r="C43" s="4">
        <v>42553.709027777775</v>
      </c>
      <c r="D43" s="3" t="s">
        <v>13</v>
      </c>
      <c r="E43" s="3" t="s">
        <v>28</v>
      </c>
      <c r="F43" s="3" t="s">
        <v>87</v>
      </c>
      <c r="G43" s="3">
        <v>5.6</v>
      </c>
      <c r="H43" s="3" t="s">
        <v>18</v>
      </c>
      <c r="I43" s="3" t="str">
        <f t="shared" si="1"/>
        <v>0 hrs 12 mins</v>
      </c>
      <c r="J43" s="3">
        <f t="shared" si="2"/>
        <v>16</v>
      </c>
      <c r="K43" s="3" t="str">
        <f t="shared" si="3"/>
        <v>Saturday</v>
      </c>
      <c r="L43" s="3" t="str">
        <f t="shared" si="4"/>
        <v>One Way</v>
      </c>
    </row>
    <row r="44" ht="14.25" customHeight="1">
      <c r="A44" s="3" t="s">
        <v>88</v>
      </c>
      <c r="B44" s="4">
        <v>42553.75208333333</v>
      </c>
      <c r="C44" s="4">
        <v>42553.76180555556</v>
      </c>
      <c r="D44" s="3" t="s">
        <v>13</v>
      </c>
      <c r="E44" s="3" t="s">
        <v>87</v>
      </c>
      <c r="F44" s="3" t="s">
        <v>28</v>
      </c>
      <c r="G44" s="3">
        <v>5.7</v>
      </c>
      <c r="H44" s="3" t="s">
        <v>23</v>
      </c>
      <c r="I44" s="3" t="str">
        <f t="shared" si="1"/>
        <v>0 hrs 14 mins</v>
      </c>
      <c r="J44" s="3">
        <f t="shared" si="2"/>
        <v>18</v>
      </c>
      <c r="K44" s="3" t="str">
        <f t="shared" si="3"/>
        <v>Saturday</v>
      </c>
      <c r="L44" s="3" t="str">
        <f t="shared" si="4"/>
        <v>One Way</v>
      </c>
    </row>
    <row r="45" ht="14.25" customHeight="1">
      <c r="A45" s="3" t="s">
        <v>89</v>
      </c>
      <c r="B45" s="4">
        <v>42553.777083333334</v>
      </c>
      <c r="C45" s="4">
        <v>42553.78680555556</v>
      </c>
      <c r="D45" s="3" t="s">
        <v>13</v>
      </c>
      <c r="E45" s="3" t="s">
        <v>28</v>
      </c>
      <c r="F45" s="3" t="s">
        <v>30</v>
      </c>
      <c r="G45" s="3">
        <v>6.1</v>
      </c>
      <c r="H45" s="3" t="s">
        <v>43</v>
      </c>
      <c r="I45" s="3" t="str">
        <f t="shared" si="1"/>
        <v>0 hrs 14 mins</v>
      </c>
      <c r="J45" s="3">
        <f t="shared" si="2"/>
        <v>18</v>
      </c>
      <c r="K45" s="3" t="str">
        <f t="shared" si="3"/>
        <v>Saturday</v>
      </c>
      <c r="L45" s="3" t="str">
        <f t="shared" si="4"/>
        <v>One Way</v>
      </c>
    </row>
    <row r="46" ht="14.25" customHeight="1">
      <c r="A46" s="3" t="s">
        <v>90</v>
      </c>
      <c r="B46" s="4">
        <v>42553.84861111111</v>
      </c>
      <c r="C46" s="4">
        <v>42553.86111111111</v>
      </c>
      <c r="D46" s="3" t="s">
        <v>13</v>
      </c>
      <c r="E46" s="3" t="s">
        <v>30</v>
      </c>
      <c r="F46" s="3" t="s">
        <v>28</v>
      </c>
      <c r="G46" s="3">
        <v>6.1</v>
      </c>
      <c r="H46" s="3" t="s">
        <v>20</v>
      </c>
      <c r="I46" s="3" t="str">
        <f t="shared" si="1"/>
        <v>0 hrs 18 mins</v>
      </c>
      <c r="J46" s="3">
        <f t="shared" si="2"/>
        <v>20</v>
      </c>
      <c r="K46" s="3" t="str">
        <f t="shared" si="3"/>
        <v>Saturday</v>
      </c>
      <c r="L46" s="3" t="str">
        <f t="shared" si="4"/>
        <v>One Way</v>
      </c>
    </row>
    <row r="47" ht="14.25" customHeight="1">
      <c r="A47" s="3" t="s">
        <v>91</v>
      </c>
      <c r="B47" s="4">
        <v>42584.53958333333</v>
      </c>
      <c r="C47" s="4">
        <v>42584.54722222222</v>
      </c>
      <c r="D47" s="3" t="s">
        <v>13</v>
      </c>
      <c r="E47" s="3" t="s">
        <v>64</v>
      </c>
      <c r="F47" s="3" t="s">
        <v>85</v>
      </c>
      <c r="G47" s="3">
        <v>4.3</v>
      </c>
      <c r="H47" s="3" t="s">
        <v>15</v>
      </c>
      <c r="I47" s="3" t="str">
        <f t="shared" si="1"/>
        <v>0 hrs 11 mins</v>
      </c>
      <c r="J47" s="3">
        <f t="shared" si="2"/>
        <v>12</v>
      </c>
      <c r="K47" s="3" t="str">
        <f t="shared" si="3"/>
        <v>Tuesday</v>
      </c>
      <c r="L47" s="3" t="str">
        <f t="shared" si="4"/>
        <v>One Way</v>
      </c>
    </row>
    <row r="48" ht="14.25" customHeight="1">
      <c r="A48" s="3" t="s">
        <v>92</v>
      </c>
      <c r="B48" s="4">
        <v>42584.583333333336</v>
      </c>
      <c r="C48" s="4">
        <v>42584.59027777778</v>
      </c>
      <c r="D48" s="3" t="s">
        <v>13</v>
      </c>
      <c r="E48" s="3" t="s">
        <v>85</v>
      </c>
      <c r="F48" s="3" t="s">
        <v>64</v>
      </c>
      <c r="G48" s="3">
        <v>2.7</v>
      </c>
      <c r="H48" s="3" t="s">
        <v>15</v>
      </c>
      <c r="I48" s="3" t="str">
        <f t="shared" si="1"/>
        <v>0 hrs 10 mins</v>
      </c>
      <c r="J48" s="3">
        <f t="shared" si="2"/>
        <v>14</v>
      </c>
      <c r="K48" s="3" t="str">
        <f t="shared" si="3"/>
        <v>Tuesday</v>
      </c>
      <c r="L48" s="3" t="str">
        <f t="shared" si="4"/>
        <v>One Way</v>
      </c>
    </row>
    <row r="49" ht="14.25" customHeight="1">
      <c r="A49" s="3" t="s">
        <v>93</v>
      </c>
      <c r="B49" s="4">
        <v>42615.45416666667</v>
      </c>
      <c r="C49" s="4">
        <v>42615.46319444444</v>
      </c>
      <c r="D49" s="3" t="s">
        <v>94</v>
      </c>
      <c r="E49" s="3" t="s">
        <v>64</v>
      </c>
      <c r="F49" s="3" t="s">
        <v>63</v>
      </c>
      <c r="G49" s="3">
        <v>5.3</v>
      </c>
      <c r="I49" s="3" t="str">
        <f t="shared" si="1"/>
        <v>0 hrs 13 mins</v>
      </c>
      <c r="J49" s="3">
        <f t="shared" si="2"/>
        <v>10</v>
      </c>
      <c r="K49" s="3" t="str">
        <f t="shared" si="3"/>
        <v>Friday</v>
      </c>
      <c r="L49" s="3" t="str">
        <f t="shared" si="4"/>
        <v>One Way</v>
      </c>
    </row>
    <row r="50" ht="14.25" customHeight="1">
      <c r="A50" s="3" t="s">
        <v>95</v>
      </c>
      <c r="B50" s="4">
        <v>42615.48819444444</v>
      </c>
      <c r="C50" s="4">
        <v>42615.493055555555</v>
      </c>
      <c r="D50" s="3" t="s">
        <v>94</v>
      </c>
      <c r="E50" s="3" t="s">
        <v>63</v>
      </c>
      <c r="F50" s="3" t="s">
        <v>96</v>
      </c>
      <c r="G50" s="3">
        <v>3.0</v>
      </c>
      <c r="I50" s="3" t="str">
        <f t="shared" si="1"/>
        <v>0 hrs 7 mins</v>
      </c>
      <c r="J50" s="3">
        <f t="shared" si="2"/>
        <v>11</v>
      </c>
      <c r="K50" s="3" t="str">
        <f t="shared" si="3"/>
        <v>Friday</v>
      </c>
      <c r="L50" s="3" t="str">
        <f t="shared" si="4"/>
        <v>One Way</v>
      </c>
    </row>
    <row r="51" ht="14.25" customHeight="1">
      <c r="A51" s="3" t="s">
        <v>97</v>
      </c>
      <c r="B51" s="4">
        <v>42615.566666666666</v>
      </c>
      <c r="C51" s="4">
        <v>42615.57777777778</v>
      </c>
      <c r="D51" s="3" t="s">
        <v>94</v>
      </c>
      <c r="E51" s="3" t="s">
        <v>96</v>
      </c>
      <c r="F51" s="3" t="s">
        <v>98</v>
      </c>
      <c r="G51" s="3">
        <v>5.1</v>
      </c>
      <c r="I51" s="3" t="str">
        <f t="shared" si="1"/>
        <v>0 hrs 16 mins</v>
      </c>
      <c r="J51" s="3">
        <f t="shared" si="2"/>
        <v>13</v>
      </c>
      <c r="K51" s="3" t="str">
        <f t="shared" si="3"/>
        <v>Friday</v>
      </c>
      <c r="L51" s="3" t="str">
        <f t="shared" si="4"/>
        <v>One Way</v>
      </c>
    </row>
    <row r="52" ht="14.25" customHeight="1">
      <c r="A52" s="3" t="s">
        <v>99</v>
      </c>
      <c r="B52" s="4">
        <v>42615.58194444444</v>
      </c>
      <c r="C52" s="4">
        <v>42615.58472222222</v>
      </c>
      <c r="D52" s="3" t="s">
        <v>94</v>
      </c>
      <c r="E52" s="3" t="s">
        <v>98</v>
      </c>
      <c r="F52" s="3" t="s">
        <v>64</v>
      </c>
      <c r="G52" s="3">
        <v>1.5</v>
      </c>
      <c r="I52" s="3" t="str">
        <f t="shared" si="1"/>
        <v>0 hrs 4 mins</v>
      </c>
      <c r="J52" s="3">
        <f t="shared" si="2"/>
        <v>13</v>
      </c>
      <c r="K52" s="3" t="str">
        <f t="shared" si="3"/>
        <v>Friday</v>
      </c>
      <c r="L52" s="3" t="str">
        <f t="shared" si="4"/>
        <v>One Way</v>
      </c>
    </row>
    <row r="53" ht="14.25" customHeight="1">
      <c r="A53" s="3" t="s">
        <v>100</v>
      </c>
      <c r="B53" s="4">
        <v>42615.788194444445</v>
      </c>
      <c r="C53" s="4">
        <v>42615.799305555556</v>
      </c>
      <c r="D53" s="3" t="s">
        <v>13</v>
      </c>
      <c r="E53" s="3" t="s">
        <v>28</v>
      </c>
      <c r="F53" s="3" t="s">
        <v>30</v>
      </c>
      <c r="G53" s="3">
        <v>6.1</v>
      </c>
      <c r="I53" s="3" t="str">
        <f t="shared" si="1"/>
        <v>0 hrs 16 mins</v>
      </c>
      <c r="J53" s="3">
        <f t="shared" si="2"/>
        <v>18</v>
      </c>
      <c r="K53" s="3" t="str">
        <f t="shared" si="3"/>
        <v>Friday</v>
      </c>
      <c r="L53" s="3" t="str">
        <f t="shared" si="4"/>
        <v>One Way</v>
      </c>
    </row>
    <row r="54" ht="14.25" customHeight="1">
      <c r="A54" s="3" t="s">
        <v>101</v>
      </c>
      <c r="B54" s="4">
        <v>42615.85</v>
      </c>
      <c r="C54" s="4">
        <v>42615.86111111111</v>
      </c>
      <c r="D54" s="3" t="s">
        <v>13</v>
      </c>
      <c r="E54" s="3" t="s">
        <v>30</v>
      </c>
      <c r="F54" s="3" t="s">
        <v>28</v>
      </c>
      <c r="G54" s="3">
        <v>6.1</v>
      </c>
      <c r="H54" s="3" t="s">
        <v>15</v>
      </c>
      <c r="I54" s="3" t="str">
        <f t="shared" si="1"/>
        <v>0 hrs 16 mins</v>
      </c>
      <c r="J54" s="3">
        <f t="shared" si="2"/>
        <v>20</v>
      </c>
      <c r="K54" s="3" t="str">
        <f t="shared" si="3"/>
        <v>Friday</v>
      </c>
      <c r="L54" s="3" t="str">
        <f t="shared" si="4"/>
        <v>One Way</v>
      </c>
    </row>
    <row r="55" ht="14.25" customHeight="1">
      <c r="A55" s="3" t="s">
        <v>102</v>
      </c>
      <c r="B55" s="4">
        <v>42676.686111111114</v>
      </c>
      <c r="C55" s="4">
        <v>42676.71527777778</v>
      </c>
      <c r="D55" s="3" t="s">
        <v>13</v>
      </c>
      <c r="E55" s="3" t="s">
        <v>28</v>
      </c>
      <c r="F55" s="3" t="s">
        <v>81</v>
      </c>
      <c r="G55" s="3">
        <v>17.3</v>
      </c>
      <c r="H55" s="3" t="s">
        <v>15</v>
      </c>
      <c r="I55" s="3" t="str">
        <f t="shared" si="1"/>
        <v>0 hrs 42 mins</v>
      </c>
      <c r="J55" s="3">
        <f t="shared" si="2"/>
        <v>16</v>
      </c>
      <c r="K55" s="3" t="str">
        <f t="shared" si="3"/>
        <v>Wednesday</v>
      </c>
      <c r="L55" s="3" t="str">
        <f t="shared" si="4"/>
        <v>One Way</v>
      </c>
    </row>
    <row r="56" ht="14.25" customHeight="1">
      <c r="A56" s="3" t="s">
        <v>103</v>
      </c>
      <c r="B56" s="4">
        <v>42676.74236111111</v>
      </c>
      <c r="C56" s="4">
        <v>42676.756944444445</v>
      </c>
      <c r="D56" s="3" t="s">
        <v>13</v>
      </c>
      <c r="E56" s="3" t="s">
        <v>104</v>
      </c>
      <c r="F56" s="3" t="s">
        <v>105</v>
      </c>
      <c r="G56" s="3">
        <v>5.7</v>
      </c>
      <c r="H56" s="3" t="s">
        <v>15</v>
      </c>
      <c r="I56" s="3" t="str">
        <f t="shared" si="1"/>
        <v>0 hrs 21 mins</v>
      </c>
      <c r="J56" s="3">
        <f t="shared" si="2"/>
        <v>17</v>
      </c>
      <c r="K56" s="3" t="str">
        <f t="shared" si="3"/>
        <v>Wednesday</v>
      </c>
      <c r="L56" s="3" t="str">
        <f t="shared" si="4"/>
        <v>One Way</v>
      </c>
    </row>
    <row r="57" ht="14.25" customHeight="1">
      <c r="A57" s="3" t="s">
        <v>106</v>
      </c>
      <c r="B57" s="4">
        <v>42676.76666666667</v>
      </c>
      <c r="C57" s="4">
        <v>42676.78194444445</v>
      </c>
      <c r="D57" s="3" t="s">
        <v>13</v>
      </c>
      <c r="E57" s="3" t="s">
        <v>81</v>
      </c>
      <c r="F57" s="3" t="s">
        <v>30</v>
      </c>
      <c r="G57" s="3">
        <v>13.5</v>
      </c>
      <c r="H57" s="3" t="s">
        <v>43</v>
      </c>
      <c r="I57" s="3" t="str">
        <f t="shared" si="1"/>
        <v>0 hrs 22 mins</v>
      </c>
      <c r="J57" s="3">
        <f t="shared" si="2"/>
        <v>18</v>
      </c>
      <c r="K57" s="3" t="str">
        <f t="shared" si="3"/>
        <v>Wednesday</v>
      </c>
      <c r="L57" s="3" t="str">
        <f t="shared" si="4"/>
        <v>One Way</v>
      </c>
    </row>
    <row r="58" ht="14.25" customHeight="1">
      <c r="A58" s="3" t="s">
        <v>107</v>
      </c>
      <c r="B58" s="4">
        <v>42676.85833333333</v>
      </c>
      <c r="C58" s="4">
        <v>42676.86875</v>
      </c>
      <c r="D58" s="3" t="s">
        <v>13</v>
      </c>
      <c r="E58" s="3" t="s">
        <v>30</v>
      </c>
      <c r="F58" s="3" t="s">
        <v>28</v>
      </c>
      <c r="G58" s="3">
        <v>6.1</v>
      </c>
      <c r="H58" s="3" t="s">
        <v>43</v>
      </c>
      <c r="I58" s="3" t="str">
        <f t="shared" si="1"/>
        <v>0 hrs 15 mins</v>
      </c>
      <c r="J58" s="3">
        <f t="shared" si="2"/>
        <v>20</v>
      </c>
      <c r="K58" s="3" t="str">
        <f t="shared" si="3"/>
        <v>Wednesday</v>
      </c>
      <c r="L58" s="3" t="str">
        <f t="shared" si="4"/>
        <v>One Way</v>
      </c>
    </row>
    <row r="59" ht="14.25" customHeight="1">
      <c r="A59" s="3" t="s">
        <v>108</v>
      </c>
      <c r="B59" s="4">
        <v>42706.347916666666</v>
      </c>
      <c r="C59" s="4">
        <v>42706.3625</v>
      </c>
      <c r="D59" s="3" t="s">
        <v>13</v>
      </c>
      <c r="E59" s="3" t="s">
        <v>28</v>
      </c>
      <c r="F59" s="3" t="s">
        <v>78</v>
      </c>
      <c r="G59" s="3">
        <v>8.5</v>
      </c>
      <c r="H59" s="3" t="s">
        <v>43</v>
      </c>
      <c r="I59" s="3" t="str">
        <f t="shared" si="1"/>
        <v>0 hrs 21 mins</v>
      </c>
      <c r="J59" s="3">
        <f t="shared" si="2"/>
        <v>8</v>
      </c>
      <c r="K59" s="3" t="str">
        <f t="shared" si="3"/>
        <v>Friday</v>
      </c>
      <c r="L59" s="3" t="str">
        <f t="shared" si="4"/>
        <v>One Way</v>
      </c>
    </row>
    <row r="60" ht="14.25" customHeight="1">
      <c r="A60" s="3" t="s">
        <v>109</v>
      </c>
      <c r="B60" s="4">
        <v>42706.447916666664</v>
      </c>
      <c r="C60" s="4">
        <v>42706.45277777778</v>
      </c>
      <c r="D60" s="3" t="s">
        <v>13</v>
      </c>
      <c r="E60" s="3" t="s">
        <v>78</v>
      </c>
      <c r="F60" s="3" t="s">
        <v>30</v>
      </c>
      <c r="G60" s="3">
        <v>2.6</v>
      </c>
      <c r="H60" s="3" t="s">
        <v>43</v>
      </c>
      <c r="I60" s="3" t="str">
        <f t="shared" si="1"/>
        <v>0 hrs 7 mins</v>
      </c>
      <c r="J60" s="3">
        <f t="shared" si="2"/>
        <v>10</v>
      </c>
      <c r="K60" s="3" t="str">
        <f t="shared" si="3"/>
        <v>Friday</v>
      </c>
      <c r="L60" s="3" t="str">
        <f t="shared" si="4"/>
        <v>One Way</v>
      </c>
    </row>
    <row r="61" ht="14.25" customHeight="1">
      <c r="A61" s="3" t="s">
        <v>110</v>
      </c>
      <c r="B61" s="4">
        <v>42706.46805555555</v>
      </c>
      <c r="C61" s="4">
        <v>42706.48263888889</v>
      </c>
      <c r="D61" s="3" t="s">
        <v>13</v>
      </c>
      <c r="E61" s="3" t="s">
        <v>30</v>
      </c>
      <c r="F61" s="3" t="s">
        <v>81</v>
      </c>
      <c r="G61" s="3">
        <v>17.0</v>
      </c>
      <c r="H61" s="3" t="s">
        <v>23</v>
      </c>
      <c r="I61" s="3" t="str">
        <f t="shared" si="1"/>
        <v>0 hrs 21 mins</v>
      </c>
      <c r="J61" s="3">
        <f t="shared" si="2"/>
        <v>11</v>
      </c>
      <c r="K61" s="3" t="str">
        <f t="shared" si="3"/>
        <v>Friday</v>
      </c>
      <c r="L61" s="3" t="str">
        <f t="shared" si="4"/>
        <v>One Way</v>
      </c>
    </row>
    <row r="62" ht="14.25" customHeight="1">
      <c r="A62" s="3" t="s">
        <v>111</v>
      </c>
      <c r="B62" s="4">
        <v>42706.54305555556</v>
      </c>
      <c r="C62" s="4">
        <v>42706.566666666666</v>
      </c>
      <c r="D62" s="3" t="s">
        <v>13</v>
      </c>
      <c r="E62" s="3" t="s">
        <v>81</v>
      </c>
      <c r="F62" s="3" t="s">
        <v>28</v>
      </c>
      <c r="G62" s="3">
        <v>18.0</v>
      </c>
      <c r="H62" s="3" t="s">
        <v>20</v>
      </c>
      <c r="I62" s="3" t="str">
        <f t="shared" si="1"/>
        <v>0 hrs 34 mins</v>
      </c>
      <c r="J62" s="3">
        <f t="shared" si="2"/>
        <v>13</v>
      </c>
      <c r="K62" s="3" t="str">
        <f t="shared" si="3"/>
        <v>Friday</v>
      </c>
      <c r="L62" s="3" t="str">
        <f t="shared" si="4"/>
        <v>One Way</v>
      </c>
    </row>
    <row r="63" ht="14.25" customHeight="1">
      <c r="A63" s="3" t="s">
        <v>112</v>
      </c>
      <c r="B63" s="4">
        <v>42706.61736111111</v>
      </c>
      <c r="C63" s="4">
        <v>42706.629166666666</v>
      </c>
      <c r="D63" s="3" t="s">
        <v>13</v>
      </c>
      <c r="E63" s="3" t="s">
        <v>28</v>
      </c>
      <c r="F63" s="3" t="s">
        <v>30</v>
      </c>
      <c r="G63" s="3">
        <v>8.4</v>
      </c>
      <c r="H63" s="3" t="s">
        <v>20</v>
      </c>
      <c r="I63" s="3" t="str">
        <f t="shared" si="1"/>
        <v>0 hrs 17 mins</v>
      </c>
      <c r="J63" s="3">
        <f t="shared" si="2"/>
        <v>14</v>
      </c>
      <c r="K63" s="3" t="str">
        <f t="shared" si="3"/>
        <v>Friday</v>
      </c>
      <c r="L63" s="3" t="str">
        <f t="shared" si="4"/>
        <v>One Way</v>
      </c>
    </row>
    <row r="64" ht="14.25" customHeight="1">
      <c r="A64" s="3" t="s">
        <v>113</v>
      </c>
      <c r="B64" s="4">
        <v>42706.64791666667</v>
      </c>
      <c r="C64" s="4">
        <v>42706.67083333333</v>
      </c>
      <c r="D64" s="3" t="s">
        <v>13</v>
      </c>
      <c r="E64" s="3" t="s">
        <v>30</v>
      </c>
      <c r="F64" s="3" t="s">
        <v>28</v>
      </c>
      <c r="G64" s="3">
        <v>11.5</v>
      </c>
      <c r="H64" s="3" t="s">
        <v>23</v>
      </c>
      <c r="I64" s="3" t="str">
        <f t="shared" si="1"/>
        <v>0 hrs 33 mins</v>
      </c>
      <c r="J64" s="3">
        <f t="shared" si="2"/>
        <v>15</v>
      </c>
      <c r="K64" s="3" t="str">
        <f t="shared" si="3"/>
        <v>Friday</v>
      </c>
      <c r="L64" s="3" t="str">
        <f t="shared" si="4"/>
        <v>One Way</v>
      </c>
    </row>
    <row r="65" ht="14.25" customHeight="1">
      <c r="A65" s="3" t="s">
        <v>114</v>
      </c>
      <c r="B65" s="4">
        <v>42372.782638888886</v>
      </c>
      <c r="C65" s="4">
        <v>42372.79861111111</v>
      </c>
      <c r="D65" s="3" t="s">
        <v>13</v>
      </c>
      <c r="E65" s="3" t="s">
        <v>64</v>
      </c>
      <c r="F65" s="3" t="s">
        <v>115</v>
      </c>
      <c r="G65" s="3">
        <v>8.0</v>
      </c>
      <c r="H65" s="3" t="s">
        <v>15</v>
      </c>
      <c r="I65" s="3" t="str">
        <f t="shared" si="1"/>
        <v>0 hrs 23 mins</v>
      </c>
      <c r="J65" s="3">
        <f t="shared" si="2"/>
        <v>18</v>
      </c>
      <c r="K65" s="3" t="str">
        <f t="shared" si="3"/>
        <v>Sunday</v>
      </c>
      <c r="L65" s="3" t="str">
        <f t="shared" si="4"/>
        <v>One Way</v>
      </c>
    </row>
    <row r="66" ht="14.25" customHeight="1">
      <c r="A66" s="3" t="s">
        <v>116</v>
      </c>
      <c r="B66" s="4">
        <v>42372.89375</v>
      </c>
      <c r="C66" s="4">
        <v>42372.90625</v>
      </c>
      <c r="D66" s="3" t="s">
        <v>13</v>
      </c>
      <c r="E66" s="3" t="s">
        <v>115</v>
      </c>
      <c r="F66" s="3" t="s">
        <v>64</v>
      </c>
      <c r="G66" s="3">
        <v>8.0</v>
      </c>
      <c r="H66" s="3" t="s">
        <v>20</v>
      </c>
      <c r="I66" s="3" t="str">
        <f t="shared" si="1"/>
        <v>0 hrs 18 mins</v>
      </c>
      <c r="J66" s="3">
        <f t="shared" si="2"/>
        <v>21</v>
      </c>
      <c r="K66" s="3" t="str">
        <f t="shared" si="3"/>
        <v>Sunday</v>
      </c>
      <c r="L66" s="3" t="str">
        <f t="shared" si="4"/>
        <v>One Way</v>
      </c>
    </row>
    <row r="67" ht="14.25" customHeight="1">
      <c r="A67" s="3" t="s">
        <v>117</v>
      </c>
      <c r="B67" s="4">
        <v>42432.40625</v>
      </c>
      <c r="C67" s="4">
        <v>42432.41111111111</v>
      </c>
      <c r="D67" s="3" t="s">
        <v>94</v>
      </c>
      <c r="E67" s="3" t="s">
        <v>64</v>
      </c>
      <c r="F67" s="3" t="s">
        <v>118</v>
      </c>
      <c r="G67" s="3">
        <v>2.2</v>
      </c>
      <c r="I67" s="3" t="str">
        <f t="shared" si="1"/>
        <v>0 hrs 7 mins</v>
      </c>
      <c r="J67" s="3">
        <f t="shared" si="2"/>
        <v>9</v>
      </c>
      <c r="K67" s="3" t="str">
        <f t="shared" si="3"/>
        <v>Thursday</v>
      </c>
      <c r="L67" s="3" t="str">
        <f t="shared" si="4"/>
        <v>One Way</v>
      </c>
    </row>
    <row r="68" ht="14.25" customHeight="1">
      <c r="A68" s="3" t="s">
        <v>119</v>
      </c>
      <c r="B68" s="4">
        <v>42432.46111111111</v>
      </c>
      <c r="C68" s="4">
        <v>42432.46527777778</v>
      </c>
      <c r="D68" s="3" t="s">
        <v>13</v>
      </c>
      <c r="E68" s="3" t="s">
        <v>118</v>
      </c>
      <c r="F68" s="3" t="s">
        <v>64</v>
      </c>
      <c r="G68" s="3">
        <v>2.3</v>
      </c>
      <c r="H68" s="3" t="s">
        <v>18</v>
      </c>
      <c r="I68" s="3" t="str">
        <f t="shared" si="1"/>
        <v>0 hrs 6 mins</v>
      </c>
      <c r="J68" s="3">
        <f t="shared" si="2"/>
        <v>11</v>
      </c>
      <c r="K68" s="3" t="str">
        <f t="shared" si="3"/>
        <v>Thursday</v>
      </c>
      <c r="L68" s="3" t="str">
        <f t="shared" si="4"/>
        <v>One Way</v>
      </c>
    </row>
    <row r="69" ht="14.25" customHeight="1">
      <c r="A69" s="3" t="s">
        <v>120</v>
      </c>
      <c r="B69" s="4">
        <v>42432.61388888889</v>
      </c>
      <c r="C69" s="4">
        <v>42432.623611111114</v>
      </c>
      <c r="D69" s="3" t="s">
        <v>13</v>
      </c>
      <c r="E69" s="3" t="s">
        <v>64</v>
      </c>
      <c r="F69" s="3" t="s">
        <v>63</v>
      </c>
      <c r="G69" s="3">
        <v>5.2</v>
      </c>
      <c r="H69" s="3" t="s">
        <v>15</v>
      </c>
      <c r="I69" s="3" t="str">
        <f t="shared" si="1"/>
        <v>0 hrs 14 mins</v>
      </c>
      <c r="J69" s="3">
        <f t="shared" si="2"/>
        <v>14</v>
      </c>
      <c r="K69" s="3" t="str">
        <f t="shared" si="3"/>
        <v>Thursday</v>
      </c>
      <c r="L69" s="3" t="str">
        <f t="shared" si="4"/>
        <v>One Way</v>
      </c>
    </row>
    <row r="70" ht="14.25" customHeight="1">
      <c r="A70" s="3" t="s">
        <v>121</v>
      </c>
      <c r="B70" s="4">
        <v>42432.64375</v>
      </c>
      <c r="C70" s="4">
        <v>42432.65833333333</v>
      </c>
      <c r="D70" s="3" t="s">
        <v>13</v>
      </c>
      <c r="E70" s="3" t="s">
        <v>28</v>
      </c>
      <c r="F70" s="3" t="s">
        <v>81</v>
      </c>
      <c r="G70" s="3">
        <v>7.6</v>
      </c>
      <c r="H70" s="3" t="s">
        <v>23</v>
      </c>
      <c r="I70" s="3" t="str">
        <f t="shared" si="1"/>
        <v>0 hrs 21 mins</v>
      </c>
      <c r="J70" s="3">
        <f t="shared" si="2"/>
        <v>15</v>
      </c>
      <c r="K70" s="3" t="str">
        <f t="shared" si="3"/>
        <v>Thursday</v>
      </c>
      <c r="L70" s="3" t="str">
        <f t="shared" si="4"/>
        <v>One Way</v>
      </c>
    </row>
    <row r="71" ht="14.25" customHeight="1">
      <c r="A71" s="3" t="s">
        <v>122</v>
      </c>
      <c r="B71" s="4">
        <v>42432.66805555556</v>
      </c>
      <c r="C71" s="4">
        <v>42432.69583333333</v>
      </c>
      <c r="D71" s="3" t="s">
        <v>13</v>
      </c>
      <c r="E71" s="3" t="s">
        <v>81</v>
      </c>
      <c r="F71" s="3" t="s">
        <v>28</v>
      </c>
      <c r="G71" s="3">
        <v>17.3</v>
      </c>
      <c r="H71" s="3" t="s">
        <v>20</v>
      </c>
      <c r="I71" s="3" t="str">
        <f t="shared" si="1"/>
        <v>0 hrs 40 mins</v>
      </c>
      <c r="J71" s="3">
        <f t="shared" si="2"/>
        <v>16</v>
      </c>
      <c r="K71" s="3" t="str">
        <f t="shared" si="3"/>
        <v>Thursday</v>
      </c>
      <c r="L71" s="3" t="str">
        <f t="shared" si="4"/>
        <v>One Way</v>
      </c>
    </row>
    <row r="72" ht="14.25" customHeight="1">
      <c r="A72" s="3" t="s">
        <v>123</v>
      </c>
      <c r="B72" s="4">
        <v>42463.32430555556</v>
      </c>
      <c r="C72" s="4">
        <v>42463.3375</v>
      </c>
      <c r="D72" s="3" t="s">
        <v>13</v>
      </c>
      <c r="E72" s="3" t="s">
        <v>28</v>
      </c>
      <c r="F72" s="3" t="s">
        <v>78</v>
      </c>
      <c r="G72" s="3">
        <v>9.9</v>
      </c>
      <c r="H72" s="3" t="s">
        <v>20</v>
      </c>
      <c r="I72" s="3" t="str">
        <f t="shared" si="1"/>
        <v>0 hrs 19 mins</v>
      </c>
      <c r="J72" s="3">
        <f t="shared" si="2"/>
        <v>7</v>
      </c>
      <c r="K72" s="3" t="str">
        <f t="shared" si="3"/>
        <v>Sunday</v>
      </c>
      <c r="L72" s="3" t="str">
        <f t="shared" si="4"/>
        <v>One Way</v>
      </c>
    </row>
    <row r="73" ht="14.25" customHeight="1">
      <c r="A73" s="3" t="s">
        <v>124</v>
      </c>
      <c r="B73" s="4">
        <v>42463.40694444445</v>
      </c>
      <c r="C73" s="4">
        <v>42463.41875</v>
      </c>
      <c r="D73" s="3" t="s">
        <v>13</v>
      </c>
      <c r="E73" s="3" t="s">
        <v>78</v>
      </c>
      <c r="F73" s="3" t="s">
        <v>28</v>
      </c>
      <c r="G73" s="3">
        <v>9.9</v>
      </c>
      <c r="H73" s="3" t="s">
        <v>23</v>
      </c>
      <c r="I73" s="3" t="str">
        <f t="shared" si="1"/>
        <v>0 hrs 17 mins</v>
      </c>
      <c r="J73" s="3">
        <f t="shared" si="2"/>
        <v>9</v>
      </c>
      <c r="K73" s="3" t="str">
        <f t="shared" si="3"/>
        <v>Sunday</v>
      </c>
      <c r="L73" s="3" t="str">
        <f t="shared" si="4"/>
        <v>One Way</v>
      </c>
    </row>
    <row r="74" ht="14.25" customHeight="1">
      <c r="A74" s="3" t="s">
        <v>125</v>
      </c>
      <c r="B74" s="4">
        <v>42463.490277777775</v>
      </c>
      <c r="C74" s="4">
        <v>42463.504166666666</v>
      </c>
      <c r="D74" s="3" t="s">
        <v>13</v>
      </c>
      <c r="E74" s="3" t="s">
        <v>28</v>
      </c>
      <c r="F74" s="3" t="s">
        <v>78</v>
      </c>
      <c r="G74" s="3">
        <v>10.4</v>
      </c>
      <c r="H74" s="3" t="s">
        <v>20</v>
      </c>
      <c r="I74" s="3" t="str">
        <f t="shared" si="1"/>
        <v>0 hrs 20 mins</v>
      </c>
      <c r="J74" s="3">
        <f t="shared" si="2"/>
        <v>11</v>
      </c>
      <c r="K74" s="3" t="str">
        <f t="shared" si="3"/>
        <v>Sunday</v>
      </c>
      <c r="L74" s="3" t="str">
        <f t="shared" si="4"/>
        <v>One Way</v>
      </c>
    </row>
    <row r="75" ht="14.25" customHeight="1">
      <c r="A75" s="3" t="s">
        <v>126</v>
      </c>
      <c r="B75" s="4">
        <v>42463.54375</v>
      </c>
      <c r="C75" s="4">
        <v>42463.55902777778</v>
      </c>
      <c r="D75" s="3" t="s">
        <v>13</v>
      </c>
      <c r="E75" s="3" t="s">
        <v>78</v>
      </c>
      <c r="F75" s="3" t="s">
        <v>28</v>
      </c>
      <c r="G75" s="3">
        <v>10.9</v>
      </c>
      <c r="H75" s="3" t="s">
        <v>20</v>
      </c>
      <c r="I75" s="3" t="str">
        <f t="shared" si="1"/>
        <v>0 hrs 22 mins</v>
      </c>
      <c r="J75" s="3">
        <f t="shared" si="2"/>
        <v>13</v>
      </c>
      <c r="K75" s="3" t="str">
        <f t="shared" si="3"/>
        <v>Sunday</v>
      </c>
      <c r="L75" s="3" t="str">
        <f t="shared" si="4"/>
        <v>One Way</v>
      </c>
    </row>
    <row r="76" ht="14.25" customHeight="1">
      <c r="A76" s="3" t="s">
        <v>127</v>
      </c>
      <c r="B76" s="4">
        <v>42463.569444444445</v>
      </c>
      <c r="C76" s="4">
        <v>42463.589583333334</v>
      </c>
      <c r="D76" s="3" t="s">
        <v>13</v>
      </c>
      <c r="E76" s="3" t="s">
        <v>28</v>
      </c>
      <c r="F76" s="3" t="s">
        <v>81</v>
      </c>
      <c r="G76" s="3">
        <v>15.7</v>
      </c>
      <c r="H76" s="3" t="s">
        <v>23</v>
      </c>
      <c r="I76" s="3" t="str">
        <f t="shared" si="1"/>
        <v>0 hrs 29 mins</v>
      </c>
      <c r="J76" s="3">
        <f t="shared" si="2"/>
        <v>13</v>
      </c>
      <c r="K76" s="3" t="str">
        <f t="shared" si="3"/>
        <v>Sunday</v>
      </c>
      <c r="L76" s="3" t="str">
        <f t="shared" si="4"/>
        <v>One Way</v>
      </c>
    </row>
    <row r="77" ht="14.25" customHeight="1">
      <c r="A77" s="3" t="s">
        <v>128</v>
      </c>
      <c r="B77" s="4">
        <v>42463.66388888889</v>
      </c>
      <c r="C77" s="4">
        <v>42463.67222222222</v>
      </c>
      <c r="D77" s="3" t="s">
        <v>13</v>
      </c>
      <c r="E77" s="3" t="s">
        <v>81</v>
      </c>
      <c r="F77" s="3" t="s">
        <v>81</v>
      </c>
      <c r="G77" s="3">
        <v>4.9</v>
      </c>
      <c r="H77" s="3" t="s">
        <v>15</v>
      </c>
      <c r="I77" s="3" t="str">
        <f t="shared" si="1"/>
        <v>0 hrs 12 mins</v>
      </c>
      <c r="J77" s="3">
        <f t="shared" si="2"/>
        <v>15</v>
      </c>
      <c r="K77" s="3" t="str">
        <f t="shared" si="3"/>
        <v>Sunday</v>
      </c>
      <c r="L77" s="3" t="str">
        <f t="shared" si="4"/>
        <v>To and Fro</v>
      </c>
    </row>
    <row r="78" ht="14.25" customHeight="1">
      <c r="A78" s="3" t="s">
        <v>129</v>
      </c>
      <c r="B78" s="4">
        <v>42463.677777777775</v>
      </c>
      <c r="C78" s="4">
        <v>42463.68194444444</v>
      </c>
      <c r="D78" s="3" t="s">
        <v>13</v>
      </c>
      <c r="E78" s="3" t="s">
        <v>130</v>
      </c>
      <c r="F78" s="3" t="s">
        <v>131</v>
      </c>
      <c r="G78" s="3">
        <v>0.8</v>
      </c>
      <c r="H78" s="3" t="s">
        <v>18</v>
      </c>
      <c r="I78" s="3" t="str">
        <f t="shared" si="1"/>
        <v>0 hrs 6 mins</v>
      </c>
      <c r="J78" s="3">
        <f t="shared" si="2"/>
        <v>16</v>
      </c>
      <c r="K78" s="3" t="str">
        <f t="shared" si="3"/>
        <v>Sunday</v>
      </c>
      <c r="L78" s="3" t="str">
        <f t="shared" si="4"/>
        <v>One Way</v>
      </c>
    </row>
    <row r="79" ht="14.25" customHeight="1">
      <c r="A79" s="3" t="s">
        <v>132</v>
      </c>
      <c r="B79" s="4">
        <v>42463.69652777778</v>
      </c>
      <c r="C79" s="4">
        <v>42463.71666666667</v>
      </c>
      <c r="D79" s="3" t="s">
        <v>13</v>
      </c>
      <c r="E79" s="3" t="s">
        <v>81</v>
      </c>
      <c r="F79" s="3" t="s">
        <v>28</v>
      </c>
      <c r="G79" s="3">
        <v>13.5</v>
      </c>
      <c r="H79" s="3" t="s">
        <v>20</v>
      </c>
      <c r="I79" s="3" t="str">
        <f t="shared" si="1"/>
        <v>0 hrs 29 mins</v>
      </c>
      <c r="J79" s="3">
        <f t="shared" si="2"/>
        <v>16</v>
      </c>
      <c r="K79" s="3" t="str">
        <f t="shared" si="3"/>
        <v>Sunday</v>
      </c>
      <c r="L79" s="3" t="str">
        <f t="shared" si="4"/>
        <v>One Way</v>
      </c>
    </row>
    <row r="80" ht="14.25" customHeight="1">
      <c r="A80" s="3" t="s">
        <v>133</v>
      </c>
      <c r="B80" s="4">
        <v>42463.79305555556</v>
      </c>
      <c r="C80" s="4">
        <v>42463.79722222222</v>
      </c>
      <c r="D80" s="3" t="s">
        <v>13</v>
      </c>
      <c r="E80" s="3" t="s">
        <v>28</v>
      </c>
      <c r="F80" s="3" t="s">
        <v>30</v>
      </c>
      <c r="G80" s="3">
        <v>1.9</v>
      </c>
      <c r="H80" s="3" t="s">
        <v>43</v>
      </c>
      <c r="I80" s="3" t="str">
        <f t="shared" si="1"/>
        <v>0 hrs 6 mins</v>
      </c>
      <c r="J80" s="3">
        <f t="shared" si="2"/>
        <v>19</v>
      </c>
      <c r="K80" s="3" t="str">
        <f t="shared" si="3"/>
        <v>Sunday</v>
      </c>
      <c r="L80" s="3" t="str">
        <f t="shared" si="4"/>
        <v>One Way</v>
      </c>
    </row>
    <row r="81" ht="14.25" customHeight="1">
      <c r="A81" s="3" t="s">
        <v>134</v>
      </c>
      <c r="B81" s="4">
        <v>42463.802777777775</v>
      </c>
      <c r="C81" s="4">
        <v>42463.80902777778</v>
      </c>
      <c r="D81" s="3" t="s">
        <v>13</v>
      </c>
      <c r="E81" s="3" t="s">
        <v>30</v>
      </c>
      <c r="F81" s="3" t="s">
        <v>28</v>
      </c>
      <c r="G81" s="3">
        <v>2.0</v>
      </c>
      <c r="H81" s="3" t="s">
        <v>15</v>
      </c>
      <c r="I81" s="3" t="str">
        <f t="shared" si="1"/>
        <v>0 hrs 9 mins</v>
      </c>
      <c r="J81" s="3">
        <f t="shared" si="2"/>
        <v>19</v>
      </c>
      <c r="K81" s="3" t="str">
        <f t="shared" si="3"/>
        <v>Sunday</v>
      </c>
      <c r="L81" s="3" t="str">
        <f t="shared" si="4"/>
        <v>One Way</v>
      </c>
    </row>
    <row r="82" ht="14.25" customHeight="1">
      <c r="A82" s="3" t="s">
        <v>135</v>
      </c>
      <c r="B82" s="4">
        <v>42493.48888888889</v>
      </c>
      <c r="C82" s="4">
        <v>42493.49930555555</v>
      </c>
      <c r="D82" s="3" t="s">
        <v>13</v>
      </c>
      <c r="E82" s="3" t="s">
        <v>28</v>
      </c>
      <c r="F82" s="3" t="s">
        <v>30</v>
      </c>
      <c r="G82" s="3">
        <v>6.5</v>
      </c>
      <c r="H82" s="3" t="s">
        <v>15</v>
      </c>
      <c r="I82" s="3" t="str">
        <f t="shared" si="1"/>
        <v>0 hrs 15 mins</v>
      </c>
      <c r="J82" s="3">
        <f t="shared" si="2"/>
        <v>11</v>
      </c>
      <c r="K82" s="3" t="str">
        <f t="shared" si="3"/>
        <v>Tuesday</v>
      </c>
      <c r="L82" s="3" t="str">
        <f t="shared" si="4"/>
        <v>One Way</v>
      </c>
    </row>
    <row r="83" ht="14.25" customHeight="1">
      <c r="A83" s="3" t="s">
        <v>136</v>
      </c>
      <c r="B83" s="4">
        <v>42493.53958333333</v>
      </c>
      <c r="C83" s="4">
        <v>42493.55</v>
      </c>
      <c r="D83" s="3" t="s">
        <v>94</v>
      </c>
      <c r="E83" s="3" t="s">
        <v>137</v>
      </c>
      <c r="F83" s="3" t="s">
        <v>137</v>
      </c>
      <c r="G83" s="3">
        <v>4.2</v>
      </c>
      <c r="I83" s="3" t="str">
        <f t="shared" si="1"/>
        <v>0 hrs 15 mins</v>
      </c>
      <c r="J83" s="3">
        <f t="shared" si="2"/>
        <v>12</v>
      </c>
      <c r="K83" s="3" t="str">
        <f t="shared" si="3"/>
        <v>Tuesday</v>
      </c>
      <c r="L83" s="3" t="str">
        <f t="shared" si="4"/>
        <v>To and Fro</v>
      </c>
    </row>
    <row r="84" ht="14.25" customHeight="1">
      <c r="A84" s="3" t="s">
        <v>138</v>
      </c>
      <c r="B84" s="4">
        <v>42493.58888888889</v>
      </c>
      <c r="C84" s="4">
        <v>42493.59583333333</v>
      </c>
      <c r="D84" s="3" t="s">
        <v>94</v>
      </c>
      <c r="E84" s="3" t="s">
        <v>30</v>
      </c>
      <c r="F84" s="3" t="s">
        <v>28</v>
      </c>
      <c r="G84" s="3">
        <v>3.5</v>
      </c>
      <c r="I84" s="3" t="str">
        <f t="shared" si="1"/>
        <v>0 hrs 10 mins</v>
      </c>
      <c r="J84" s="3">
        <f t="shared" si="2"/>
        <v>14</v>
      </c>
      <c r="K84" s="3" t="str">
        <f t="shared" si="3"/>
        <v>Tuesday</v>
      </c>
      <c r="L84" s="3" t="str">
        <f t="shared" si="4"/>
        <v>One Way</v>
      </c>
    </row>
    <row r="85" ht="14.25" customHeight="1">
      <c r="A85" s="3" t="s">
        <v>139</v>
      </c>
      <c r="B85" s="4">
        <v>42493.61041666667</v>
      </c>
      <c r="C85" s="4">
        <v>42493.62569444445</v>
      </c>
      <c r="D85" s="3" t="s">
        <v>13</v>
      </c>
      <c r="E85" s="3" t="s">
        <v>64</v>
      </c>
      <c r="F85" s="3" t="s">
        <v>115</v>
      </c>
      <c r="G85" s="3">
        <v>7.8</v>
      </c>
      <c r="H85" s="3" t="s">
        <v>15</v>
      </c>
      <c r="I85" s="3" t="str">
        <f t="shared" si="1"/>
        <v>0 hrs 22 mins</v>
      </c>
      <c r="J85" s="3">
        <f t="shared" si="2"/>
        <v>14</v>
      </c>
      <c r="K85" s="3" t="str">
        <f t="shared" si="3"/>
        <v>Tuesday</v>
      </c>
      <c r="L85" s="3" t="str">
        <f t="shared" si="4"/>
        <v>One Way</v>
      </c>
    </row>
    <row r="86" ht="14.25" customHeight="1">
      <c r="A86" s="3" t="s">
        <v>140</v>
      </c>
      <c r="B86" s="4">
        <v>42493.70277777778</v>
      </c>
      <c r="C86" s="4">
        <v>42493.717361111114</v>
      </c>
      <c r="D86" s="3" t="s">
        <v>13</v>
      </c>
      <c r="E86" s="3" t="s">
        <v>28</v>
      </c>
      <c r="F86" s="3" t="s">
        <v>30</v>
      </c>
      <c r="G86" s="3">
        <v>7.8</v>
      </c>
      <c r="H86" s="3" t="s">
        <v>15</v>
      </c>
      <c r="I86" s="3" t="str">
        <f t="shared" si="1"/>
        <v>0 hrs 21 mins</v>
      </c>
      <c r="J86" s="3">
        <f t="shared" si="2"/>
        <v>16</v>
      </c>
      <c r="K86" s="3" t="str">
        <f t="shared" si="3"/>
        <v>Tuesday</v>
      </c>
      <c r="L86" s="3" t="str">
        <f t="shared" si="4"/>
        <v>One Way</v>
      </c>
    </row>
    <row r="87" ht="14.25" customHeight="1">
      <c r="A87" s="3" t="s">
        <v>141</v>
      </c>
      <c r="B87" s="4">
        <v>42493.72430555556</v>
      </c>
      <c r="C87" s="4">
        <v>42493.731944444444</v>
      </c>
      <c r="D87" s="3" t="s">
        <v>13</v>
      </c>
      <c r="E87" s="3" t="s">
        <v>30</v>
      </c>
      <c r="F87" s="3" t="s">
        <v>28</v>
      </c>
      <c r="G87" s="3">
        <v>3.9</v>
      </c>
      <c r="H87" s="3" t="s">
        <v>15</v>
      </c>
      <c r="I87" s="3" t="str">
        <f t="shared" si="1"/>
        <v>0 hrs 11 mins</v>
      </c>
      <c r="J87" s="3">
        <f t="shared" si="2"/>
        <v>17</v>
      </c>
      <c r="K87" s="3" t="str">
        <f t="shared" si="3"/>
        <v>Tuesday</v>
      </c>
      <c r="L87" s="3" t="str">
        <f t="shared" si="4"/>
        <v>One Way</v>
      </c>
    </row>
    <row r="88" ht="14.25" customHeight="1">
      <c r="A88" s="3" t="s">
        <v>142</v>
      </c>
      <c r="B88" s="4">
        <v>42554.381944444445</v>
      </c>
      <c r="C88" s="4">
        <v>42554.38888888889</v>
      </c>
      <c r="D88" s="3" t="s">
        <v>13</v>
      </c>
      <c r="E88" s="3" t="s">
        <v>64</v>
      </c>
      <c r="F88" s="3" t="s">
        <v>85</v>
      </c>
      <c r="G88" s="3">
        <v>2.8</v>
      </c>
      <c r="H88" s="3" t="s">
        <v>18</v>
      </c>
      <c r="I88" s="3" t="str">
        <f t="shared" si="1"/>
        <v>0 hrs 10 mins</v>
      </c>
      <c r="J88" s="3">
        <f t="shared" si="2"/>
        <v>9</v>
      </c>
      <c r="K88" s="3" t="str">
        <f t="shared" si="3"/>
        <v>Sunday</v>
      </c>
      <c r="L88" s="3" t="str">
        <f t="shared" si="4"/>
        <v>One Way</v>
      </c>
    </row>
    <row r="89" ht="14.25" customHeight="1">
      <c r="A89" s="3" t="s">
        <v>143</v>
      </c>
      <c r="B89" s="4">
        <v>42554.39097222222</v>
      </c>
      <c r="C89" s="4">
        <v>42554.407638888886</v>
      </c>
      <c r="D89" s="3" t="s">
        <v>13</v>
      </c>
      <c r="E89" s="3" t="s">
        <v>28</v>
      </c>
      <c r="F89" s="3" t="s">
        <v>81</v>
      </c>
      <c r="G89" s="3">
        <v>12.4</v>
      </c>
      <c r="H89" s="3" t="s">
        <v>23</v>
      </c>
      <c r="I89" s="3" t="str">
        <f t="shared" si="1"/>
        <v>0 hrs 24 mins</v>
      </c>
      <c r="J89" s="3">
        <f t="shared" si="2"/>
        <v>9</v>
      </c>
      <c r="K89" s="3" t="str">
        <f t="shared" si="3"/>
        <v>Sunday</v>
      </c>
      <c r="L89" s="3" t="str">
        <f t="shared" si="4"/>
        <v>One Way</v>
      </c>
    </row>
    <row r="90" ht="14.25" customHeight="1">
      <c r="A90" s="3" t="s">
        <v>144</v>
      </c>
      <c r="B90" s="4">
        <v>42554.506944444445</v>
      </c>
      <c r="C90" s="4">
        <v>42554.518055555556</v>
      </c>
      <c r="D90" s="3" t="s">
        <v>13</v>
      </c>
      <c r="E90" s="3" t="s">
        <v>130</v>
      </c>
      <c r="F90" s="3" t="s">
        <v>145</v>
      </c>
      <c r="G90" s="3">
        <v>5.9</v>
      </c>
      <c r="H90" s="3" t="s">
        <v>23</v>
      </c>
      <c r="I90" s="3" t="str">
        <f t="shared" si="1"/>
        <v>0 hrs 16 mins</v>
      </c>
      <c r="J90" s="3">
        <f t="shared" si="2"/>
        <v>12</v>
      </c>
      <c r="K90" s="3" t="str">
        <f t="shared" si="3"/>
        <v>Sunday</v>
      </c>
      <c r="L90" s="3" t="str">
        <f t="shared" si="4"/>
        <v>One Way</v>
      </c>
    </row>
    <row r="91" ht="14.25" customHeight="1">
      <c r="A91" s="3" t="s">
        <v>146</v>
      </c>
      <c r="B91" s="4">
        <v>42554.58125</v>
      </c>
      <c r="C91" s="4">
        <v>42554.59583333333</v>
      </c>
      <c r="D91" s="3" t="s">
        <v>13</v>
      </c>
      <c r="E91" s="3" t="s">
        <v>145</v>
      </c>
      <c r="F91" s="3" t="s">
        <v>147</v>
      </c>
      <c r="G91" s="3">
        <v>9.4</v>
      </c>
      <c r="H91" s="3" t="s">
        <v>20</v>
      </c>
      <c r="I91" s="3" t="str">
        <f t="shared" si="1"/>
        <v>0 hrs 21 mins</v>
      </c>
      <c r="J91" s="3">
        <f t="shared" si="2"/>
        <v>13</v>
      </c>
      <c r="K91" s="3" t="str">
        <f t="shared" si="3"/>
        <v>Sunday</v>
      </c>
      <c r="L91" s="3" t="str">
        <f t="shared" si="4"/>
        <v>One Way</v>
      </c>
    </row>
    <row r="92" ht="14.25" customHeight="1">
      <c r="A92" s="3" t="s">
        <v>148</v>
      </c>
      <c r="B92" s="4">
        <v>42554.638194444444</v>
      </c>
      <c r="C92" s="4">
        <v>42554.65625</v>
      </c>
      <c r="D92" s="3" t="s">
        <v>13</v>
      </c>
      <c r="E92" s="3" t="s">
        <v>81</v>
      </c>
      <c r="F92" s="3" t="s">
        <v>28</v>
      </c>
      <c r="G92" s="3">
        <v>11.9</v>
      </c>
      <c r="H92" s="3" t="s">
        <v>82</v>
      </c>
      <c r="I92" s="3" t="str">
        <f t="shared" si="1"/>
        <v>0 hrs 26 mins</v>
      </c>
      <c r="J92" s="3">
        <f t="shared" si="2"/>
        <v>15</v>
      </c>
      <c r="K92" s="3" t="str">
        <f t="shared" si="3"/>
        <v>Sunday</v>
      </c>
      <c r="L92" s="3" t="str">
        <f t="shared" si="4"/>
        <v>One Way</v>
      </c>
    </row>
    <row r="93" ht="14.25" customHeight="1">
      <c r="A93" s="3" t="s">
        <v>149</v>
      </c>
      <c r="B93" s="4">
        <v>42585.60972222222</v>
      </c>
      <c r="C93" s="4">
        <v>42585.62152777778</v>
      </c>
      <c r="D93" s="3" t="s">
        <v>13</v>
      </c>
      <c r="E93" s="3" t="s">
        <v>64</v>
      </c>
      <c r="F93" s="3" t="s">
        <v>150</v>
      </c>
      <c r="G93" s="3">
        <v>7.2</v>
      </c>
      <c r="H93" s="3" t="s">
        <v>82</v>
      </c>
      <c r="I93" s="3" t="str">
        <f t="shared" si="1"/>
        <v>0 hrs 17 mins</v>
      </c>
      <c r="J93" s="3">
        <f t="shared" si="2"/>
        <v>14</v>
      </c>
      <c r="K93" s="3" t="str">
        <f t="shared" si="3"/>
        <v>Wednesday</v>
      </c>
      <c r="L93" s="3" t="str">
        <f t="shared" si="4"/>
        <v>One Way</v>
      </c>
    </row>
    <row r="94" ht="14.25" customHeight="1">
      <c r="A94" s="3" t="s">
        <v>151</v>
      </c>
      <c r="B94" s="4">
        <v>42585.649305555555</v>
      </c>
      <c r="C94" s="4">
        <v>42585.666666666664</v>
      </c>
      <c r="D94" s="3" t="s">
        <v>13</v>
      </c>
      <c r="E94" s="3" t="s">
        <v>150</v>
      </c>
      <c r="F94" s="3" t="s">
        <v>64</v>
      </c>
      <c r="G94" s="3">
        <v>7.6</v>
      </c>
      <c r="H94" s="3" t="s">
        <v>15</v>
      </c>
      <c r="I94" s="3" t="str">
        <f t="shared" si="1"/>
        <v>0 hrs 25 mins</v>
      </c>
      <c r="J94" s="3">
        <f t="shared" si="2"/>
        <v>15</v>
      </c>
      <c r="K94" s="3" t="str">
        <f t="shared" si="3"/>
        <v>Wednesday</v>
      </c>
      <c r="L94" s="3" t="str">
        <f t="shared" si="4"/>
        <v>One Way</v>
      </c>
    </row>
    <row r="95" ht="14.25" customHeight="1">
      <c r="A95" s="3" t="s">
        <v>152</v>
      </c>
      <c r="B95" s="4">
        <v>42585.67569444444</v>
      </c>
      <c r="C95" s="4">
        <v>42585.68402777778</v>
      </c>
      <c r="D95" s="3" t="s">
        <v>94</v>
      </c>
      <c r="E95" s="3" t="s">
        <v>64</v>
      </c>
      <c r="F95" s="3" t="s">
        <v>64</v>
      </c>
      <c r="G95" s="3">
        <v>1.6</v>
      </c>
      <c r="I95" s="3" t="str">
        <f t="shared" si="1"/>
        <v>0 hrs 12 mins</v>
      </c>
      <c r="J95" s="3">
        <f t="shared" si="2"/>
        <v>16</v>
      </c>
      <c r="K95" s="3" t="str">
        <f t="shared" si="3"/>
        <v>Wednesday</v>
      </c>
      <c r="L95" s="3" t="str">
        <f t="shared" si="4"/>
        <v>To and Fro</v>
      </c>
    </row>
    <row r="96" ht="14.25" customHeight="1">
      <c r="A96" s="3" t="s">
        <v>153</v>
      </c>
      <c r="B96" s="4">
        <v>42646.15</v>
      </c>
      <c r="C96" s="4">
        <v>42646.16180555556</v>
      </c>
      <c r="D96" s="3" t="s">
        <v>13</v>
      </c>
      <c r="E96" s="3" t="s">
        <v>28</v>
      </c>
      <c r="F96" s="3" t="s">
        <v>30</v>
      </c>
      <c r="G96" s="3">
        <v>8.4</v>
      </c>
      <c r="H96" s="3" t="s">
        <v>20</v>
      </c>
      <c r="I96" s="3" t="str">
        <f t="shared" si="1"/>
        <v>0 hrs 17 mins</v>
      </c>
      <c r="J96" s="3">
        <f t="shared" si="2"/>
        <v>3</v>
      </c>
      <c r="K96" s="3" t="str">
        <f t="shared" si="3"/>
        <v>Monday</v>
      </c>
      <c r="L96" s="3" t="str">
        <f t="shared" si="4"/>
        <v>One Way</v>
      </c>
    </row>
    <row r="97" ht="14.25" customHeight="1">
      <c r="A97" s="3" t="s">
        <v>154</v>
      </c>
      <c r="B97" s="4">
        <v>42646.42222222222</v>
      </c>
      <c r="C97" s="4">
        <v>42646.44236111111</v>
      </c>
      <c r="D97" s="3" t="s">
        <v>13</v>
      </c>
      <c r="E97" s="3" t="s">
        <v>155</v>
      </c>
      <c r="F97" s="3" t="s">
        <v>156</v>
      </c>
      <c r="G97" s="3">
        <v>12.8</v>
      </c>
      <c r="H97" s="3" t="s">
        <v>20</v>
      </c>
      <c r="I97" s="3" t="str">
        <f t="shared" si="1"/>
        <v>0 hrs 29 mins</v>
      </c>
      <c r="J97" s="3">
        <f t="shared" si="2"/>
        <v>10</v>
      </c>
      <c r="K97" s="3" t="str">
        <f t="shared" si="3"/>
        <v>Monday</v>
      </c>
      <c r="L97" s="3" t="str">
        <f t="shared" si="4"/>
        <v>One Way</v>
      </c>
    </row>
    <row r="98" ht="14.25" customHeight="1">
      <c r="A98" s="3" t="s">
        <v>157</v>
      </c>
      <c r="B98" s="4">
        <v>42646.61041666667</v>
      </c>
      <c r="C98" s="4">
        <v>42646.62152777778</v>
      </c>
      <c r="D98" s="3" t="s">
        <v>13</v>
      </c>
      <c r="E98" s="3" t="s">
        <v>156</v>
      </c>
      <c r="F98" s="3" t="s">
        <v>158</v>
      </c>
      <c r="G98" s="3">
        <v>2.3</v>
      </c>
      <c r="I98" s="3" t="str">
        <f t="shared" si="1"/>
        <v>0 hrs 16 mins</v>
      </c>
      <c r="J98" s="3">
        <f t="shared" si="2"/>
        <v>14</v>
      </c>
      <c r="K98" s="3" t="str">
        <f t="shared" si="3"/>
        <v>Monday</v>
      </c>
      <c r="L98" s="3" t="str">
        <f t="shared" si="4"/>
        <v>One Way</v>
      </c>
    </row>
    <row r="99" ht="14.25" customHeight="1">
      <c r="A99" s="3" t="s">
        <v>159</v>
      </c>
      <c r="B99" s="4">
        <v>42646.67916666667</v>
      </c>
      <c r="C99" s="4">
        <v>42646.686111111114</v>
      </c>
      <c r="D99" s="3" t="s">
        <v>13</v>
      </c>
      <c r="E99" s="3" t="s">
        <v>158</v>
      </c>
      <c r="F99" s="3" t="s">
        <v>160</v>
      </c>
      <c r="G99" s="3">
        <v>1.6</v>
      </c>
      <c r="I99" s="3" t="str">
        <f t="shared" si="1"/>
        <v>0 hrs 10 mins</v>
      </c>
      <c r="J99" s="3">
        <f t="shared" si="2"/>
        <v>16</v>
      </c>
      <c r="K99" s="3" t="str">
        <f t="shared" si="3"/>
        <v>Monday</v>
      </c>
      <c r="L99" s="3" t="str">
        <f t="shared" si="4"/>
        <v>One Way</v>
      </c>
    </row>
    <row r="100" ht="14.25" customHeight="1">
      <c r="A100" s="3" t="s">
        <v>161</v>
      </c>
      <c r="B100" s="4">
        <v>42677.407638888886</v>
      </c>
      <c r="C100" s="4">
        <v>42677.415972222225</v>
      </c>
      <c r="D100" s="3" t="s">
        <v>13</v>
      </c>
      <c r="E100" s="3" t="s">
        <v>162</v>
      </c>
      <c r="F100" s="3" t="s">
        <v>163</v>
      </c>
      <c r="G100" s="3">
        <v>2.0</v>
      </c>
      <c r="H100" s="3" t="s">
        <v>15</v>
      </c>
      <c r="I100" s="3" t="str">
        <f t="shared" si="1"/>
        <v>0 hrs 12 mins</v>
      </c>
      <c r="J100" s="3">
        <f t="shared" si="2"/>
        <v>9</v>
      </c>
      <c r="K100" s="3" t="str">
        <f t="shared" si="3"/>
        <v>Thursday</v>
      </c>
      <c r="L100" s="3" t="str">
        <f t="shared" si="4"/>
        <v>One Way</v>
      </c>
    </row>
    <row r="101" ht="14.25" customHeight="1">
      <c r="A101" s="3" t="s">
        <v>164</v>
      </c>
      <c r="B101" s="4">
        <v>42677.43680555555</v>
      </c>
      <c r="C101" s="4">
        <v>42677.441666666666</v>
      </c>
      <c r="D101" s="3" t="s">
        <v>13</v>
      </c>
      <c r="E101" s="3" t="s">
        <v>163</v>
      </c>
      <c r="F101" s="3" t="s">
        <v>165</v>
      </c>
      <c r="G101" s="3">
        <v>0.8</v>
      </c>
      <c r="I101" s="3" t="str">
        <f t="shared" si="1"/>
        <v>0 hrs 7 mins</v>
      </c>
      <c r="J101" s="3">
        <f t="shared" si="2"/>
        <v>10</v>
      </c>
      <c r="K101" s="3" t="str">
        <f t="shared" si="3"/>
        <v>Thursday</v>
      </c>
      <c r="L101" s="3" t="str">
        <f t="shared" si="4"/>
        <v>One Way</v>
      </c>
    </row>
    <row r="102" ht="14.25" customHeight="1">
      <c r="A102" s="3" t="s">
        <v>166</v>
      </c>
      <c r="B102" s="4">
        <v>42677.49791666667</v>
      </c>
      <c r="C102" s="4">
        <v>42677.50277777778</v>
      </c>
      <c r="D102" s="3" t="s">
        <v>13</v>
      </c>
      <c r="E102" s="3" t="s">
        <v>165</v>
      </c>
      <c r="F102" s="3" t="s">
        <v>167</v>
      </c>
      <c r="G102" s="3">
        <v>1.2</v>
      </c>
      <c r="I102" s="3" t="str">
        <f t="shared" si="1"/>
        <v>0 hrs 7 mins</v>
      </c>
      <c r="J102" s="3">
        <f t="shared" si="2"/>
        <v>11</v>
      </c>
      <c r="K102" s="3" t="str">
        <f t="shared" si="3"/>
        <v>Thursday</v>
      </c>
      <c r="L102" s="3" t="str">
        <f t="shared" si="4"/>
        <v>One Way</v>
      </c>
    </row>
    <row r="103" ht="14.25" customHeight="1">
      <c r="A103" s="3" t="s">
        <v>168</v>
      </c>
      <c r="B103" s="4">
        <v>42677.57152777778</v>
      </c>
      <c r="C103" s="4">
        <v>42677.57708333333</v>
      </c>
      <c r="D103" s="3" t="s">
        <v>13</v>
      </c>
      <c r="E103" s="3" t="s">
        <v>167</v>
      </c>
      <c r="F103" s="3" t="s">
        <v>165</v>
      </c>
      <c r="G103" s="3">
        <v>1.0</v>
      </c>
      <c r="I103" s="3" t="str">
        <f t="shared" si="1"/>
        <v>0 hrs 8 mins</v>
      </c>
      <c r="J103" s="3">
        <f t="shared" si="2"/>
        <v>13</v>
      </c>
      <c r="K103" s="3" t="str">
        <f t="shared" si="3"/>
        <v>Thursday</v>
      </c>
      <c r="L103" s="3" t="str">
        <f t="shared" si="4"/>
        <v>One Way</v>
      </c>
    </row>
    <row r="104" ht="14.25" customHeight="1">
      <c r="A104" s="3" t="s">
        <v>169</v>
      </c>
      <c r="B104" s="4">
        <v>42677.80625</v>
      </c>
      <c r="C104" s="4">
        <v>42677.81597222222</v>
      </c>
      <c r="D104" s="3" t="s">
        <v>13</v>
      </c>
      <c r="E104" s="3" t="s">
        <v>158</v>
      </c>
      <c r="F104" s="3" t="s">
        <v>162</v>
      </c>
      <c r="G104" s="3">
        <v>2.1</v>
      </c>
      <c r="I104" s="3" t="str">
        <f t="shared" si="1"/>
        <v>0 hrs 14 mins</v>
      </c>
      <c r="J104" s="3">
        <f t="shared" si="2"/>
        <v>19</v>
      </c>
      <c r="K104" s="3" t="str">
        <f t="shared" si="3"/>
        <v>Thursday</v>
      </c>
      <c r="L104" s="3" t="str">
        <f t="shared" si="4"/>
        <v>One Way</v>
      </c>
    </row>
    <row r="105" ht="14.25" customHeight="1">
      <c r="A105" s="3" t="s">
        <v>170</v>
      </c>
      <c r="B105" s="4">
        <v>42707.38402777778</v>
      </c>
      <c r="C105" s="4">
        <v>42707.39027777778</v>
      </c>
      <c r="D105" s="3" t="s">
        <v>13</v>
      </c>
      <c r="E105" s="3" t="s">
        <v>162</v>
      </c>
      <c r="F105" s="3" t="s">
        <v>158</v>
      </c>
      <c r="G105" s="3">
        <v>2.2</v>
      </c>
      <c r="I105" s="3" t="str">
        <f t="shared" si="1"/>
        <v>0 hrs 9 mins</v>
      </c>
      <c r="J105" s="3">
        <f t="shared" si="2"/>
        <v>9</v>
      </c>
      <c r="K105" s="3" t="str">
        <f t="shared" si="3"/>
        <v>Saturday</v>
      </c>
      <c r="L105" s="3" t="str">
        <f t="shared" si="4"/>
        <v>One Way</v>
      </c>
    </row>
    <row r="106" ht="14.25" customHeight="1">
      <c r="A106" s="3" t="s">
        <v>171</v>
      </c>
      <c r="B106" s="4">
        <v>42707.76875</v>
      </c>
      <c r="C106" s="4">
        <v>42707.77569444444</v>
      </c>
      <c r="D106" s="3" t="s">
        <v>94</v>
      </c>
      <c r="E106" s="3" t="s">
        <v>158</v>
      </c>
      <c r="F106" s="3" t="s">
        <v>162</v>
      </c>
      <c r="G106" s="3">
        <v>1.9</v>
      </c>
      <c r="I106" s="3" t="str">
        <f t="shared" si="1"/>
        <v>0 hrs 10 mins</v>
      </c>
      <c r="J106" s="3">
        <f t="shared" si="2"/>
        <v>18</v>
      </c>
      <c r="K106" s="3" t="str">
        <f t="shared" si="3"/>
        <v>Saturday</v>
      </c>
      <c r="L106" s="3" t="str">
        <f t="shared" si="4"/>
        <v>One Way</v>
      </c>
    </row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172</v>
      </c>
      <c r="C1" s="1" t="s">
        <v>173</v>
      </c>
    </row>
    <row r="2" ht="14.25" customHeight="1">
      <c r="A2" s="3" t="s">
        <v>12</v>
      </c>
      <c r="B2" s="3">
        <v>65.0</v>
      </c>
      <c r="C2" s="5" t="s">
        <v>174</v>
      </c>
    </row>
    <row r="3" ht="14.25" customHeight="1">
      <c r="A3" s="3" t="s">
        <v>16</v>
      </c>
      <c r="B3" s="3">
        <v>62.0</v>
      </c>
      <c r="C3" s="5" t="s">
        <v>175</v>
      </c>
    </row>
    <row r="4" ht="14.25" customHeight="1">
      <c r="A4" s="3" t="s">
        <v>17</v>
      </c>
      <c r="B4" s="3">
        <v>63.0</v>
      </c>
      <c r="C4" s="5" t="s">
        <v>176</v>
      </c>
    </row>
    <row r="5" ht="14.25" customHeight="1">
      <c r="A5" s="3" t="s">
        <v>19</v>
      </c>
      <c r="B5" s="3">
        <v>60.0</v>
      </c>
      <c r="C5" s="5" t="s">
        <v>177</v>
      </c>
    </row>
    <row r="6" ht="14.25" customHeight="1">
      <c r="A6" s="3" t="s">
        <v>21</v>
      </c>
      <c r="B6" s="3">
        <v>500.0</v>
      </c>
      <c r="C6" s="5" t="s">
        <v>178</v>
      </c>
    </row>
    <row r="7" ht="14.25" customHeight="1">
      <c r="A7" s="3" t="s">
        <v>24</v>
      </c>
      <c r="B7" s="3">
        <v>60.0</v>
      </c>
      <c r="C7" s="5" t="s">
        <v>179</v>
      </c>
    </row>
    <row r="8" ht="14.25" customHeight="1">
      <c r="A8" s="3" t="s">
        <v>25</v>
      </c>
      <c r="B8" s="3">
        <v>85.0</v>
      </c>
      <c r="C8" s="5" t="s">
        <v>178</v>
      </c>
    </row>
    <row r="9" ht="14.25" customHeight="1">
      <c r="A9" s="3" t="s">
        <v>27</v>
      </c>
      <c r="B9" s="3">
        <v>10.0</v>
      </c>
      <c r="C9" s="5" t="s">
        <v>180</v>
      </c>
    </row>
    <row r="10" ht="14.25" customHeight="1">
      <c r="A10" s="3" t="s">
        <v>29</v>
      </c>
      <c r="B10" s="3">
        <v>92.0</v>
      </c>
      <c r="C10" s="5" t="s">
        <v>176</v>
      </c>
    </row>
    <row r="11" ht="14.25" customHeight="1">
      <c r="A11" s="3" t="s">
        <v>31</v>
      </c>
      <c r="B11" s="3">
        <v>175.0</v>
      </c>
      <c r="C11" s="5" t="s">
        <v>181</v>
      </c>
    </row>
    <row r="12" ht="14.25" customHeight="1">
      <c r="A12" s="3" t="s">
        <v>34</v>
      </c>
      <c r="B12" s="3">
        <v>110.0</v>
      </c>
      <c r="C12" s="5" t="s">
        <v>182</v>
      </c>
    </row>
    <row r="13" ht="14.25" customHeight="1">
      <c r="A13" s="3" t="s">
        <v>36</v>
      </c>
      <c r="B13" s="3">
        <v>92.0</v>
      </c>
      <c r="C13" s="5" t="s">
        <v>183</v>
      </c>
    </row>
    <row r="14" ht="14.25" customHeight="1">
      <c r="A14" s="3" t="s">
        <v>38</v>
      </c>
      <c r="B14" s="3">
        <v>75.0</v>
      </c>
      <c r="C14" s="5" t="s">
        <v>184</v>
      </c>
    </row>
    <row r="15" ht="14.25" customHeight="1">
      <c r="A15" s="3" t="s">
        <v>41</v>
      </c>
      <c r="B15" s="3">
        <v>78.0</v>
      </c>
      <c r="C15" s="5" t="s">
        <v>185</v>
      </c>
    </row>
    <row r="16" ht="14.25" customHeight="1">
      <c r="A16" s="3" t="s">
        <v>44</v>
      </c>
      <c r="B16" s="3">
        <v>12.0</v>
      </c>
      <c r="C16" s="5" t="s">
        <v>176</v>
      </c>
    </row>
    <row r="17" ht="14.25" customHeight="1">
      <c r="A17" s="3" t="s">
        <v>46</v>
      </c>
      <c r="B17" s="3">
        <v>12.0</v>
      </c>
      <c r="C17" s="5" t="s">
        <v>186</v>
      </c>
    </row>
    <row r="18" ht="14.25" customHeight="1">
      <c r="A18" s="3" t="s">
        <v>48</v>
      </c>
      <c r="B18" s="3">
        <v>20.0</v>
      </c>
      <c r="C18" s="5" t="s">
        <v>181</v>
      </c>
    </row>
    <row r="19" ht="14.25" customHeight="1">
      <c r="A19" s="3" t="s">
        <v>49</v>
      </c>
      <c r="B19" s="3">
        <v>18.0</v>
      </c>
      <c r="C19" s="5" t="s">
        <v>181</v>
      </c>
    </row>
    <row r="20" ht="14.25" customHeight="1">
      <c r="A20" s="3" t="s">
        <v>51</v>
      </c>
      <c r="B20" s="3">
        <v>45.0</v>
      </c>
      <c r="C20" s="5" t="s">
        <v>177</v>
      </c>
    </row>
    <row r="21" ht="14.25" customHeight="1">
      <c r="A21" s="3" t="s">
        <v>53</v>
      </c>
      <c r="B21" s="3">
        <v>13.0</v>
      </c>
      <c r="C21" s="5" t="s">
        <v>178</v>
      </c>
    </row>
    <row r="22" ht="14.25" customHeight="1">
      <c r="A22" s="3" t="s">
        <v>54</v>
      </c>
      <c r="B22" s="3">
        <v>25.0</v>
      </c>
      <c r="C22" s="5" t="s">
        <v>187</v>
      </c>
    </row>
    <row r="23" ht="14.25" customHeight="1">
      <c r="A23" s="3" t="s">
        <v>56</v>
      </c>
      <c r="B23" s="3">
        <v>21.0</v>
      </c>
      <c r="C23" s="5" t="s">
        <v>177</v>
      </c>
    </row>
    <row r="24" ht="14.25" customHeight="1">
      <c r="A24" s="3" t="s">
        <v>57</v>
      </c>
      <c r="B24" s="3">
        <v>168.0</v>
      </c>
      <c r="C24" s="5" t="s">
        <v>188</v>
      </c>
    </row>
    <row r="25" ht="14.25" customHeight="1">
      <c r="A25" s="3" t="s">
        <v>59</v>
      </c>
      <c r="B25" s="3">
        <v>195.0</v>
      </c>
      <c r="C25" s="5" t="s">
        <v>189</v>
      </c>
    </row>
    <row r="26" ht="14.25" customHeight="1">
      <c r="A26" s="3" t="s">
        <v>61</v>
      </c>
      <c r="B26" s="3">
        <v>220.0</v>
      </c>
      <c r="C26" s="5" t="s">
        <v>183</v>
      </c>
    </row>
    <row r="27" ht="14.25" customHeight="1">
      <c r="A27" s="3" t="s">
        <v>62</v>
      </c>
      <c r="B27" s="3">
        <v>43.0</v>
      </c>
      <c r="C27" s="5" t="s">
        <v>190</v>
      </c>
    </row>
    <row r="28" ht="14.25" customHeight="1">
      <c r="A28" s="3" t="s">
        <v>65</v>
      </c>
      <c r="B28" s="3">
        <v>108.0</v>
      </c>
      <c r="C28" s="5" t="s">
        <v>187</v>
      </c>
    </row>
    <row r="29" ht="14.25" customHeight="1">
      <c r="A29" s="3" t="s">
        <v>67</v>
      </c>
      <c r="B29" s="3">
        <v>79.0</v>
      </c>
      <c r="C29" s="5" t="s">
        <v>184</v>
      </c>
    </row>
    <row r="30" ht="14.25" customHeight="1">
      <c r="A30" s="3" t="s">
        <v>68</v>
      </c>
      <c r="B30" s="3">
        <v>15.0</v>
      </c>
      <c r="C30" s="5" t="s">
        <v>180</v>
      </c>
    </row>
    <row r="31" ht="14.25" customHeight="1">
      <c r="A31" s="3" t="s">
        <v>69</v>
      </c>
      <c r="B31" s="3">
        <v>75.0</v>
      </c>
      <c r="C31" s="5" t="s">
        <v>191</v>
      </c>
    </row>
    <row r="32" ht="14.25" customHeight="1">
      <c r="A32" s="3" t="s">
        <v>70</v>
      </c>
      <c r="B32" s="3">
        <v>110.0</v>
      </c>
      <c r="C32" s="5" t="s">
        <v>180</v>
      </c>
    </row>
    <row r="33" ht="14.25" customHeight="1">
      <c r="A33" s="3" t="s">
        <v>71</v>
      </c>
      <c r="B33" s="3">
        <v>15.0</v>
      </c>
      <c r="C33" s="5" t="s">
        <v>181</v>
      </c>
    </row>
    <row r="34" ht="14.25" customHeight="1">
      <c r="A34" s="3" t="s">
        <v>72</v>
      </c>
      <c r="B34" s="3">
        <v>12.0</v>
      </c>
      <c r="C34" s="5" t="s">
        <v>190</v>
      </c>
    </row>
    <row r="35" ht="14.25" customHeight="1">
      <c r="A35" s="3" t="s">
        <v>73</v>
      </c>
      <c r="B35" s="3">
        <v>16.0</v>
      </c>
      <c r="C35" s="5" t="s">
        <v>175</v>
      </c>
    </row>
    <row r="36" ht="14.25" customHeight="1">
      <c r="A36" s="3" t="s">
        <v>74</v>
      </c>
      <c r="B36" s="3">
        <v>88.0</v>
      </c>
      <c r="C36" s="5" t="s">
        <v>183</v>
      </c>
    </row>
    <row r="37" ht="14.25" customHeight="1">
      <c r="A37" s="3" t="s">
        <v>76</v>
      </c>
      <c r="B37" s="3">
        <v>75.0</v>
      </c>
      <c r="C37" s="5" t="s">
        <v>176</v>
      </c>
    </row>
    <row r="38" ht="14.25" customHeight="1">
      <c r="A38" s="3" t="s">
        <v>77</v>
      </c>
      <c r="B38" s="3">
        <v>122.0</v>
      </c>
      <c r="C38" s="5" t="s">
        <v>191</v>
      </c>
    </row>
    <row r="39" ht="14.25" customHeight="1">
      <c r="A39" s="3" t="s">
        <v>79</v>
      </c>
      <c r="B39" s="3">
        <v>125.0</v>
      </c>
      <c r="C39" s="5" t="s">
        <v>191</v>
      </c>
    </row>
    <row r="40" ht="14.25" customHeight="1">
      <c r="A40" s="3" t="s">
        <v>80</v>
      </c>
      <c r="B40" s="3">
        <v>132.0</v>
      </c>
      <c r="C40" s="5" t="s">
        <v>186</v>
      </c>
    </row>
    <row r="41" ht="14.25" customHeight="1">
      <c r="A41" s="3" t="s">
        <v>83</v>
      </c>
      <c r="B41" s="3">
        <v>105.0</v>
      </c>
      <c r="C41" s="5" t="s">
        <v>184</v>
      </c>
    </row>
    <row r="42" ht="14.25" customHeight="1">
      <c r="A42" s="3" t="s">
        <v>84</v>
      </c>
      <c r="B42" s="3">
        <v>50.0</v>
      </c>
      <c r="C42" s="5" t="s">
        <v>182</v>
      </c>
    </row>
    <row r="43" ht="14.25" customHeight="1">
      <c r="A43" s="3" t="s">
        <v>86</v>
      </c>
      <c r="B43" s="3">
        <v>67.0</v>
      </c>
      <c r="C43" s="5" t="s">
        <v>192</v>
      </c>
    </row>
    <row r="44" ht="14.25" customHeight="1">
      <c r="A44" s="3" t="s">
        <v>88</v>
      </c>
      <c r="B44" s="3">
        <v>71.0</v>
      </c>
      <c r="C44" s="5" t="s">
        <v>192</v>
      </c>
    </row>
    <row r="45" ht="14.25" customHeight="1">
      <c r="A45" s="3" t="s">
        <v>89</v>
      </c>
      <c r="B45" s="3">
        <v>64.0</v>
      </c>
      <c r="C45" s="5" t="s">
        <v>176</v>
      </c>
    </row>
    <row r="46" ht="14.25" customHeight="1">
      <c r="A46" s="3" t="s">
        <v>90</v>
      </c>
      <c r="B46" s="3">
        <v>70.0</v>
      </c>
      <c r="C46" s="5" t="s">
        <v>179</v>
      </c>
    </row>
    <row r="47" ht="14.25" customHeight="1">
      <c r="A47" s="3" t="s">
        <v>91</v>
      </c>
      <c r="B47" s="3">
        <v>52.0</v>
      </c>
      <c r="C47" s="5" t="s">
        <v>193</v>
      </c>
    </row>
    <row r="48" ht="14.25" customHeight="1">
      <c r="A48" s="3" t="s">
        <v>92</v>
      </c>
      <c r="B48" s="3">
        <v>30.0</v>
      </c>
      <c r="C48" s="5" t="s">
        <v>191</v>
      </c>
    </row>
    <row r="49" ht="14.25" customHeight="1">
      <c r="A49" s="3" t="s">
        <v>93</v>
      </c>
      <c r="B49" s="3">
        <v>64.0</v>
      </c>
      <c r="C49" s="5" t="s">
        <v>176</v>
      </c>
    </row>
    <row r="50" ht="14.25" customHeight="1">
      <c r="A50" s="3" t="s">
        <v>95</v>
      </c>
      <c r="B50" s="3">
        <v>25.0</v>
      </c>
      <c r="C50" s="5" t="s">
        <v>189</v>
      </c>
    </row>
    <row r="51" ht="14.25" customHeight="1">
      <c r="A51" s="3" t="s">
        <v>97</v>
      </c>
      <c r="B51" s="3">
        <v>66.0</v>
      </c>
      <c r="C51" s="5" t="s">
        <v>179</v>
      </c>
    </row>
    <row r="52" ht="14.25" customHeight="1">
      <c r="A52" s="3" t="s">
        <v>99</v>
      </c>
      <c r="B52" s="3">
        <v>20.0</v>
      </c>
      <c r="C52" s="5" t="s">
        <v>191</v>
      </c>
    </row>
    <row r="53" ht="14.25" customHeight="1">
      <c r="A53" s="3" t="s">
        <v>100</v>
      </c>
      <c r="B53" s="3">
        <v>73.0</v>
      </c>
      <c r="C53" s="5" t="s">
        <v>192</v>
      </c>
    </row>
    <row r="54" ht="14.25" customHeight="1">
      <c r="A54" s="3" t="s">
        <v>101</v>
      </c>
      <c r="B54" s="3">
        <v>75.0</v>
      </c>
      <c r="C54" s="5" t="s">
        <v>174</v>
      </c>
    </row>
    <row r="55" ht="14.25" customHeight="1">
      <c r="A55" s="3" t="s">
        <v>102</v>
      </c>
      <c r="B55" s="3">
        <v>185.0</v>
      </c>
      <c r="C55" s="5" t="s">
        <v>181</v>
      </c>
    </row>
    <row r="56" ht="14.25" customHeight="1">
      <c r="A56" s="3" t="s">
        <v>103</v>
      </c>
      <c r="B56" s="3">
        <v>72.0</v>
      </c>
      <c r="C56" s="5" t="s">
        <v>177</v>
      </c>
    </row>
    <row r="57" ht="14.25" customHeight="1">
      <c r="A57" s="3" t="s">
        <v>106</v>
      </c>
      <c r="B57" s="3">
        <v>143.0</v>
      </c>
      <c r="C57" s="5" t="s">
        <v>176</v>
      </c>
    </row>
    <row r="58" ht="14.25" customHeight="1">
      <c r="A58" s="3" t="s">
        <v>107</v>
      </c>
      <c r="B58" s="3">
        <v>67.0</v>
      </c>
      <c r="C58" s="5" t="s">
        <v>188</v>
      </c>
    </row>
    <row r="59" ht="14.25" customHeight="1">
      <c r="A59" s="3" t="s">
        <v>108</v>
      </c>
      <c r="B59" s="3">
        <v>92.0</v>
      </c>
      <c r="C59" s="5" t="s">
        <v>184</v>
      </c>
    </row>
    <row r="60" ht="14.25" customHeight="1">
      <c r="A60" s="3" t="s">
        <v>109</v>
      </c>
      <c r="B60" s="3">
        <v>35.0</v>
      </c>
      <c r="C60" s="5" t="s">
        <v>184</v>
      </c>
    </row>
    <row r="61" ht="14.25" customHeight="1">
      <c r="A61" s="3" t="s">
        <v>110</v>
      </c>
      <c r="B61" s="3">
        <v>165.0</v>
      </c>
      <c r="C61" s="5" t="s">
        <v>174</v>
      </c>
    </row>
    <row r="62" ht="14.25" customHeight="1">
      <c r="A62" s="3" t="s">
        <v>111</v>
      </c>
      <c r="B62" s="3">
        <v>188.0</v>
      </c>
      <c r="C62" s="5" t="s">
        <v>178</v>
      </c>
    </row>
    <row r="63" ht="14.25" customHeight="1">
      <c r="A63" s="3" t="s">
        <v>112</v>
      </c>
      <c r="B63" s="3">
        <v>96.0</v>
      </c>
      <c r="C63" s="5" t="s">
        <v>188</v>
      </c>
    </row>
    <row r="64" ht="14.25" customHeight="1">
      <c r="A64" s="3" t="s">
        <v>113</v>
      </c>
      <c r="B64" s="3">
        <v>120.0</v>
      </c>
      <c r="C64" s="5" t="s">
        <v>175</v>
      </c>
    </row>
    <row r="65" ht="14.25" customHeight="1">
      <c r="A65" s="3" t="s">
        <v>114</v>
      </c>
      <c r="B65" s="3">
        <v>76.0</v>
      </c>
      <c r="C65" s="5" t="s">
        <v>184</v>
      </c>
    </row>
    <row r="66" ht="14.25" customHeight="1">
      <c r="A66" s="3" t="s">
        <v>116</v>
      </c>
      <c r="B66" s="3">
        <v>84.0</v>
      </c>
      <c r="C66" s="5" t="s">
        <v>179</v>
      </c>
    </row>
    <row r="67" ht="14.25" customHeight="1">
      <c r="A67" s="3" t="s">
        <v>117</v>
      </c>
      <c r="B67" s="3">
        <v>25.0</v>
      </c>
      <c r="C67" s="5" t="s">
        <v>179</v>
      </c>
    </row>
    <row r="68" ht="14.25" customHeight="1">
      <c r="A68" s="3" t="s">
        <v>119</v>
      </c>
      <c r="B68" s="3">
        <v>18.0</v>
      </c>
      <c r="C68" s="5" t="s">
        <v>185</v>
      </c>
    </row>
    <row r="69" ht="14.25" customHeight="1">
      <c r="A69" s="3" t="s">
        <v>120</v>
      </c>
      <c r="B69" s="3">
        <v>56.0</v>
      </c>
      <c r="C69" s="5" t="s">
        <v>194</v>
      </c>
    </row>
    <row r="70" ht="14.25" customHeight="1">
      <c r="A70" s="3" t="s">
        <v>121</v>
      </c>
      <c r="B70" s="3">
        <v>84.0</v>
      </c>
      <c r="C70" s="5" t="s">
        <v>183</v>
      </c>
    </row>
    <row r="71" ht="14.25" customHeight="1">
      <c r="A71" s="3" t="s">
        <v>122</v>
      </c>
      <c r="B71" s="3">
        <v>194.0</v>
      </c>
      <c r="C71" s="5" t="s">
        <v>180</v>
      </c>
    </row>
    <row r="72" ht="14.25" customHeight="1">
      <c r="A72" s="3" t="s">
        <v>123</v>
      </c>
      <c r="B72" s="3">
        <v>110.0</v>
      </c>
      <c r="C72" s="5" t="s">
        <v>192</v>
      </c>
    </row>
    <row r="73" ht="14.25" customHeight="1">
      <c r="A73" s="3" t="s">
        <v>124</v>
      </c>
      <c r="B73" s="3">
        <v>112.0</v>
      </c>
      <c r="C73" s="5" t="s">
        <v>193</v>
      </c>
    </row>
    <row r="74" ht="14.25" customHeight="1">
      <c r="A74" s="3" t="s">
        <v>125</v>
      </c>
      <c r="B74" s="3">
        <v>126.0</v>
      </c>
      <c r="C74" s="5" t="s">
        <v>178</v>
      </c>
    </row>
    <row r="75" ht="14.25" customHeight="1">
      <c r="A75" s="3" t="s">
        <v>126</v>
      </c>
      <c r="B75" s="3">
        <v>132.0</v>
      </c>
      <c r="C75" s="5" t="s">
        <v>191</v>
      </c>
    </row>
    <row r="76" ht="14.25" customHeight="1">
      <c r="A76" s="3" t="s">
        <v>127</v>
      </c>
      <c r="B76" s="3">
        <v>157.0</v>
      </c>
      <c r="C76" s="5" t="s">
        <v>177</v>
      </c>
    </row>
    <row r="77" ht="14.25" customHeight="1">
      <c r="A77" s="3" t="s">
        <v>128</v>
      </c>
      <c r="B77" s="3">
        <v>60.0</v>
      </c>
      <c r="C77" s="5" t="s">
        <v>181</v>
      </c>
    </row>
    <row r="78" ht="14.25" customHeight="1">
      <c r="A78" s="3" t="s">
        <v>129</v>
      </c>
      <c r="B78" s="3">
        <v>10.0</v>
      </c>
      <c r="C78" s="5" t="s">
        <v>180</v>
      </c>
    </row>
    <row r="79" ht="14.25" customHeight="1">
      <c r="A79" s="3" t="s">
        <v>132</v>
      </c>
      <c r="B79" s="3">
        <v>141.0</v>
      </c>
      <c r="C79" s="5" t="s">
        <v>191</v>
      </c>
    </row>
    <row r="80" ht="14.25" customHeight="1">
      <c r="A80" s="3" t="s">
        <v>133</v>
      </c>
      <c r="B80" s="3">
        <v>16.0</v>
      </c>
      <c r="C80" s="5" t="s">
        <v>177</v>
      </c>
    </row>
    <row r="81" ht="14.25" customHeight="1">
      <c r="A81" s="3" t="s">
        <v>134</v>
      </c>
      <c r="B81" s="3">
        <v>15.0</v>
      </c>
      <c r="C81" s="5" t="s">
        <v>191</v>
      </c>
    </row>
    <row r="82" ht="14.25" customHeight="1">
      <c r="A82" s="3" t="s">
        <v>135</v>
      </c>
      <c r="B82" s="3">
        <v>58.0</v>
      </c>
      <c r="C82" s="5" t="s">
        <v>175</v>
      </c>
    </row>
    <row r="83" ht="14.25" customHeight="1">
      <c r="A83" s="3" t="s">
        <v>136</v>
      </c>
      <c r="B83" s="3">
        <v>49.0</v>
      </c>
      <c r="C83" s="5" t="s">
        <v>174</v>
      </c>
    </row>
    <row r="84" ht="14.25" customHeight="1">
      <c r="A84" s="3" t="s">
        <v>138</v>
      </c>
      <c r="B84" s="3">
        <v>31.0</v>
      </c>
      <c r="C84" s="5" t="s">
        <v>178</v>
      </c>
    </row>
    <row r="85" ht="14.25" customHeight="1">
      <c r="A85" s="3" t="s">
        <v>139</v>
      </c>
      <c r="B85" s="3">
        <v>82.0</v>
      </c>
      <c r="C85" s="5" t="s">
        <v>188</v>
      </c>
    </row>
    <row r="86" ht="14.25" customHeight="1">
      <c r="A86" s="3" t="s">
        <v>140</v>
      </c>
      <c r="B86" s="3">
        <v>87.0</v>
      </c>
      <c r="C86" s="5" t="s">
        <v>193</v>
      </c>
    </row>
    <row r="87" ht="14.25" customHeight="1">
      <c r="A87" s="3" t="s">
        <v>141</v>
      </c>
      <c r="B87" s="3">
        <v>45.0</v>
      </c>
      <c r="C87" s="5" t="s">
        <v>194</v>
      </c>
    </row>
    <row r="88" ht="14.25" customHeight="1">
      <c r="A88" s="3" t="s">
        <v>142</v>
      </c>
      <c r="B88" s="3">
        <v>30.0</v>
      </c>
      <c r="C88" s="5" t="s">
        <v>184</v>
      </c>
    </row>
    <row r="89" ht="14.25" customHeight="1">
      <c r="A89" s="3" t="s">
        <v>143</v>
      </c>
      <c r="B89" s="3">
        <v>128.0</v>
      </c>
      <c r="C89" s="5" t="s">
        <v>176</v>
      </c>
    </row>
    <row r="90" ht="14.25" customHeight="1">
      <c r="A90" s="3" t="s">
        <v>144</v>
      </c>
      <c r="B90" s="3">
        <v>80.0</v>
      </c>
      <c r="C90" s="5" t="s">
        <v>180</v>
      </c>
    </row>
    <row r="91" ht="14.25" customHeight="1">
      <c r="A91" s="3" t="s">
        <v>146</v>
      </c>
      <c r="B91" s="3">
        <v>89.0</v>
      </c>
      <c r="C91" s="5" t="s">
        <v>185</v>
      </c>
    </row>
    <row r="92" ht="14.25" customHeight="1">
      <c r="A92" s="3" t="s">
        <v>148</v>
      </c>
      <c r="B92" s="3">
        <v>142.0</v>
      </c>
      <c r="C92" s="5" t="s">
        <v>186</v>
      </c>
    </row>
    <row r="93" ht="14.25" customHeight="1">
      <c r="A93" s="3" t="s">
        <v>149</v>
      </c>
      <c r="B93" s="3">
        <v>78.0</v>
      </c>
      <c r="C93" s="5" t="s">
        <v>191</v>
      </c>
    </row>
    <row r="94" ht="14.25" customHeight="1">
      <c r="A94" s="3" t="s">
        <v>151</v>
      </c>
      <c r="B94" s="3">
        <v>75.0</v>
      </c>
      <c r="C94" s="5" t="s">
        <v>185</v>
      </c>
    </row>
    <row r="95" ht="14.25" customHeight="1">
      <c r="A95" s="3" t="s">
        <v>152</v>
      </c>
      <c r="B95" s="3">
        <v>20.0</v>
      </c>
      <c r="C95" s="5" t="s">
        <v>177</v>
      </c>
    </row>
    <row r="96" ht="14.25" customHeight="1">
      <c r="A96" s="3" t="s">
        <v>153</v>
      </c>
      <c r="B96" s="3">
        <v>97.0</v>
      </c>
      <c r="C96" s="5" t="s">
        <v>191</v>
      </c>
    </row>
    <row r="97" ht="14.25" customHeight="1">
      <c r="A97" s="3" t="s">
        <v>154</v>
      </c>
      <c r="B97" s="3">
        <v>145.0</v>
      </c>
      <c r="C97" s="5" t="s">
        <v>177</v>
      </c>
    </row>
    <row r="98" ht="14.25" customHeight="1">
      <c r="A98" s="3" t="s">
        <v>157</v>
      </c>
      <c r="B98" s="3">
        <v>32.0</v>
      </c>
      <c r="C98" s="5" t="s">
        <v>178</v>
      </c>
    </row>
    <row r="99" ht="14.25" customHeight="1">
      <c r="A99" s="3" t="s">
        <v>159</v>
      </c>
      <c r="B99" s="3">
        <v>12.0</v>
      </c>
      <c r="C99" s="5" t="s">
        <v>177</v>
      </c>
    </row>
    <row r="100" ht="14.25" customHeight="1">
      <c r="A100" s="3" t="s">
        <v>161</v>
      </c>
      <c r="B100" s="3">
        <v>22.0</v>
      </c>
      <c r="C100" s="5" t="s">
        <v>174</v>
      </c>
    </row>
    <row r="101" ht="14.25" customHeight="1">
      <c r="A101" s="3" t="s">
        <v>164</v>
      </c>
      <c r="B101" s="3">
        <v>10.0</v>
      </c>
      <c r="C101" s="5" t="s">
        <v>181</v>
      </c>
    </row>
    <row r="102" ht="14.25" customHeight="1">
      <c r="A102" s="3" t="s">
        <v>166</v>
      </c>
      <c r="B102" s="3">
        <v>12.0</v>
      </c>
      <c r="C102" s="5" t="s">
        <v>184</v>
      </c>
    </row>
    <row r="103" ht="14.25" customHeight="1">
      <c r="A103" s="3" t="s">
        <v>168</v>
      </c>
      <c r="B103" s="3">
        <v>12.0</v>
      </c>
      <c r="C103" s="5" t="s">
        <v>190</v>
      </c>
    </row>
    <row r="104" ht="14.25" customHeight="1">
      <c r="A104" s="3" t="s">
        <v>169</v>
      </c>
      <c r="B104" s="3">
        <v>18.0</v>
      </c>
      <c r="C104" s="5" t="s">
        <v>188</v>
      </c>
    </row>
    <row r="105" ht="14.25" customHeight="1">
      <c r="A105" s="3" t="s">
        <v>170</v>
      </c>
      <c r="B105" s="3">
        <v>20.0</v>
      </c>
      <c r="C105" s="5" t="s">
        <v>181</v>
      </c>
    </row>
    <row r="106" ht="14.25" customHeight="1">
      <c r="A106" s="3" t="s">
        <v>171</v>
      </c>
      <c r="B106" s="3">
        <v>20.0</v>
      </c>
      <c r="C106" s="5" t="s">
        <v>187</v>
      </c>
    </row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57"/>
    <col customWidth="1" min="3" max="4" width="20.43"/>
    <col customWidth="1" min="5" max="7" width="8.71"/>
    <col customWidth="1" min="8" max="8" width="12.29"/>
    <col customWidth="1" min="9" max="26" width="8.71"/>
  </cols>
  <sheetData>
    <row r="1" ht="14.25" customHeight="1"/>
    <row r="2" ht="14.25" customHeight="1">
      <c r="B2" s="6" t="s">
        <v>195</v>
      </c>
      <c r="C2" s="6"/>
      <c r="D2" s="6"/>
    </row>
    <row r="3" ht="14.25" customHeight="1">
      <c r="B3" s="7"/>
      <c r="C3" s="7"/>
      <c r="D3" s="7"/>
    </row>
    <row r="4" ht="14.25" customHeight="1">
      <c r="B4" s="8" t="s">
        <v>196</v>
      </c>
      <c r="F4" s="7"/>
      <c r="G4" s="7"/>
    </row>
    <row r="5" ht="14.25" customHeight="1">
      <c r="B5" s="8" t="s">
        <v>197</v>
      </c>
      <c r="E5" s="7"/>
      <c r="F5" s="7"/>
      <c r="G5" s="7"/>
    </row>
    <row r="6" ht="14.25" customHeight="1">
      <c r="B6" s="8" t="s">
        <v>198</v>
      </c>
    </row>
    <row r="7" ht="14.25" customHeight="1">
      <c r="B7" s="8" t="s">
        <v>199</v>
      </c>
      <c r="P7" s="7"/>
      <c r="Q7" s="7"/>
    </row>
    <row r="8" ht="14.25" customHeight="1"/>
    <row r="9" ht="14.25" customHeight="1">
      <c r="B9" s="9" t="s">
        <v>0</v>
      </c>
      <c r="C9" s="10" t="s">
        <v>200</v>
      </c>
      <c r="D9" s="10" t="s">
        <v>201</v>
      </c>
      <c r="E9" s="10" t="s">
        <v>173</v>
      </c>
      <c r="F9" s="10" t="s">
        <v>172</v>
      </c>
      <c r="G9" s="10" t="s">
        <v>202</v>
      </c>
      <c r="H9" s="10" t="s">
        <v>8</v>
      </c>
    </row>
    <row r="10" ht="14.25" customHeight="1">
      <c r="B10" s="7" t="s">
        <v>16</v>
      </c>
      <c r="C10" s="4">
        <f>IFERROR(VLOOKUP($B10,Taxi_Data1!$A$2:$H$106,COLUMNS($A$2:B$2),0),"None")</f>
        <v>42401.05903</v>
      </c>
      <c r="D10" s="4">
        <f>IFERROR(VLOOKUP($B10,Taxi_Data1!$A$2:$H$106,COLUMNS($A$2:C$2),0),"None")</f>
        <v>42401.06736</v>
      </c>
      <c r="E10" s="3" t="str">
        <f>IFERROR(VLOOKUP($B10,Taxi_Data2!$A$2:$C$106,MATCH($E$9,Taxi_Data2!$A$1:$C$1,0),0),"None")</f>
        <v>Alex</v>
      </c>
      <c r="F10" s="3">
        <f>IFERROR(VLOOKUP($B10,Taxi_Data2!$A$2:$C$106,MATCH($F$9,Taxi_Data2!$A$1:$C$1,0),0),"None")</f>
        <v>62</v>
      </c>
      <c r="G10" s="3">
        <f>IFERROR(VLOOKUP($B10,Taxi_Data1!$A$2:$H$106,7,0),"None")</f>
        <v>5</v>
      </c>
      <c r="H10" s="3" t="str">
        <f>IFERROR(VLOOKUP($B10,Taxi_Data1!$A$2:$J$106,9,0),"None")</f>
        <v>0 hrs 12 mins</v>
      </c>
    </row>
    <row r="11" ht="14.25" customHeight="1">
      <c r="B11" s="7" t="s">
        <v>21</v>
      </c>
      <c r="C11" s="4">
        <f>IFERROR(VLOOKUP($B11,Taxi_Data1!$A$2:$H$106,COLUMNS($A$2:B$2),0),"None")</f>
        <v>42522.6125</v>
      </c>
      <c r="D11" s="4">
        <f>IFERROR(VLOOKUP($B11,Taxi_Data1!$A$2:$H$106,COLUMNS($A$2:C$2),0),"None")</f>
        <v>42522.65903</v>
      </c>
      <c r="E11" s="3" t="str">
        <f>IFERROR(VLOOKUP($B11,Taxi_Data2!$A$2:$C$106,MATCH($E$9,Taxi_Data2!$A$1:$C$1,0),0),"None")</f>
        <v>Jason</v>
      </c>
      <c r="F11" s="3">
        <f>IFERROR(VLOOKUP($B11,Taxi_Data2!$A$2:$C$106,MATCH($F$9,Taxi_Data2!$A$1:$C$1,0),0),"None")</f>
        <v>500</v>
      </c>
      <c r="G11" s="3">
        <f>IFERROR(VLOOKUP($B11,Taxi_Data1!$A$2:$H$106,7,0),"None")</f>
        <v>63.7</v>
      </c>
      <c r="H11" s="3" t="str">
        <f>IFERROR(VLOOKUP($B11,Taxi_Data1!$A$2:$J$106,9,0),"None")</f>
        <v>1 hrs 7 mins</v>
      </c>
    </row>
    <row r="12" ht="14.25" customHeight="1">
      <c r="B12" s="7" t="s">
        <v>79</v>
      </c>
      <c r="C12" s="4">
        <f>IFERROR(VLOOKUP($B12,Taxi_Data1!$A$2:$H$106,COLUMNS($A$2:B$2),0),"None")</f>
        <v>42492.55694</v>
      </c>
      <c r="D12" s="4">
        <f>IFERROR(VLOOKUP($B12,Taxi_Data1!$A$2:$H$106,COLUMNS($A$2:C$2),0),"None")</f>
        <v>42492.57014</v>
      </c>
      <c r="E12" s="3" t="str">
        <f>IFERROR(VLOOKUP($B12,Taxi_Data2!$A$2:$C$106,MATCH($E$9,Taxi_Data2!$A$1:$C$1,0),0),"None")</f>
        <v>Martin</v>
      </c>
      <c r="F12" s="3">
        <f>IFERROR(VLOOKUP($B12,Taxi_Data2!$A$2:$C$106,MATCH($F$9,Taxi_Data2!$A$1:$C$1,0),0),"None")</f>
        <v>125</v>
      </c>
      <c r="G12" s="3">
        <f>IFERROR(VLOOKUP($B12,Taxi_Data1!$A$2:$H$106,7,0),"None")</f>
        <v>10.4</v>
      </c>
      <c r="H12" s="3" t="str">
        <f>IFERROR(VLOOKUP($B12,Taxi_Data1!$A$2:$J$106,9,0),"None")</f>
        <v>0 hrs 19 mins</v>
      </c>
    </row>
    <row r="13" ht="14.25" customHeight="1">
      <c r="B13" s="7" t="s">
        <v>203</v>
      </c>
      <c r="C13" s="4" t="str">
        <f>IFERROR(VLOOKUP($B13,Taxi_Data1!$A$2:$H$106,COLUMNS($A$2:B$2),0),"None")</f>
        <v>None</v>
      </c>
      <c r="D13" s="4" t="str">
        <f>IFERROR(VLOOKUP($B13,Taxi_Data1!$A$2:$H$106,COLUMNS($A$2:C$2),0),"None")</f>
        <v>None</v>
      </c>
      <c r="E13" s="3" t="str">
        <f>IFERROR(VLOOKUP($B13,Taxi_Data2!$A$2:$C$106,MATCH($E$9,Taxi_Data2!$A$1:$C$1,0),0),"None")</f>
        <v>None</v>
      </c>
      <c r="F13" s="3" t="str">
        <f>IFERROR(VLOOKUP($B13,Taxi_Data2!$A$2:$C$106,MATCH($F$9,Taxi_Data2!$A$1:$C$1,0),0),"None")</f>
        <v>None</v>
      </c>
      <c r="G13" s="3" t="str">
        <f>IFERROR(VLOOKUP($B13,Taxi_Data1!$A$2:$H$106,7,0),"None")</f>
        <v>None</v>
      </c>
      <c r="H13" s="3" t="str">
        <f>IFERROR(VLOOKUP($B13,Taxi_Data1!$A$2:$J$106,9,0),"None")</f>
        <v>None</v>
      </c>
    </row>
    <row r="14" ht="14.25" customHeight="1">
      <c r="B14" s="7" t="s">
        <v>119</v>
      </c>
      <c r="C14" s="4">
        <f>IFERROR(VLOOKUP($B14,Taxi_Data1!$A$2:$H$106,COLUMNS($A$2:B$2),0),"None")</f>
        <v>42432.46111</v>
      </c>
      <c r="D14" s="4">
        <f>IFERROR(VLOOKUP($B14,Taxi_Data1!$A$2:$H$106,COLUMNS($A$2:C$2),0),"None")</f>
        <v>42432.46528</v>
      </c>
      <c r="E14" s="3" t="str">
        <f>IFERROR(VLOOKUP($B14,Taxi_Data2!$A$2:$C$106,MATCH($E$9,Taxi_Data2!$A$1:$C$1,0),0),"None")</f>
        <v>Eduard</v>
      </c>
      <c r="F14" s="3">
        <f>IFERROR(VLOOKUP($B14,Taxi_Data2!$A$2:$C$106,MATCH($F$9,Taxi_Data2!$A$1:$C$1,0),0),"None")</f>
        <v>18</v>
      </c>
      <c r="G14" s="3">
        <f>IFERROR(VLOOKUP($B14,Taxi_Data1!$A$2:$H$106,7,0),"None")</f>
        <v>2.3</v>
      </c>
      <c r="H14" s="3" t="str">
        <f>IFERROR(VLOOKUP($B14,Taxi_Data1!$A$2:$J$106,9,0),"None")</f>
        <v>0 hrs 6 mins</v>
      </c>
    </row>
    <row r="15" ht="14.25" customHeight="1">
      <c r="B15" s="7" t="s">
        <v>111</v>
      </c>
      <c r="C15" s="4">
        <f>IFERROR(VLOOKUP($B15,Taxi_Data1!$A$2:$H$106,COLUMNS($A$2:B$2),0),"None")</f>
        <v>42706.54306</v>
      </c>
      <c r="D15" s="4">
        <f>IFERROR(VLOOKUP($B15,Taxi_Data1!$A$2:$H$106,COLUMNS($A$2:C$2),0),"None")</f>
        <v>42706.56667</v>
      </c>
      <c r="E15" s="3" t="str">
        <f>IFERROR(VLOOKUP($B15,Taxi_Data2!$A$2:$C$106,MATCH($E$9,Taxi_Data2!$A$1:$C$1,0),0),"None")</f>
        <v>Jason</v>
      </c>
      <c r="F15" s="3">
        <f>IFERROR(VLOOKUP($B15,Taxi_Data2!$A$2:$C$106,MATCH($F$9,Taxi_Data2!$A$1:$C$1,0),0),"None")</f>
        <v>188</v>
      </c>
      <c r="G15" s="3">
        <f>IFERROR(VLOOKUP($B15,Taxi_Data1!$A$2:$H$106,7,0),"None")</f>
        <v>18</v>
      </c>
      <c r="H15" s="3" t="str">
        <f>IFERROR(VLOOKUP($B15,Taxi_Data1!$A$2:$J$106,9,0),"None")</f>
        <v>0 hrs 34 mins</v>
      </c>
    </row>
    <row r="16" ht="14.25" customHeight="1">
      <c r="B16" s="7" t="s">
        <v>133</v>
      </c>
      <c r="C16" s="4">
        <f>IFERROR(VLOOKUP($B16,Taxi_Data1!$A$2:$H$106,COLUMNS($A$2:B$2),0),"None")</f>
        <v>42463.79306</v>
      </c>
      <c r="D16" s="4">
        <f>IFERROR(VLOOKUP($B16,Taxi_Data1!$A$2:$H$106,COLUMNS($A$2:C$2),0),"None")</f>
        <v>42463.79722</v>
      </c>
      <c r="E16" s="3" t="str">
        <f>IFERROR(VLOOKUP($B16,Taxi_Data2!$A$2:$C$106,MATCH($E$9,Taxi_Data2!$A$1:$C$1,0),0),"None")</f>
        <v>Shawn</v>
      </c>
      <c r="F16" s="3">
        <f>IFERROR(VLOOKUP($B16,Taxi_Data2!$A$2:$C$106,MATCH($F$9,Taxi_Data2!$A$1:$C$1,0),0),"None")</f>
        <v>16</v>
      </c>
      <c r="G16" s="3">
        <f>IFERROR(VLOOKUP($B16,Taxi_Data1!$A$2:$H$106,7,0),"None")</f>
        <v>1.9</v>
      </c>
      <c r="H16" s="3" t="str">
        <f>IFERROR(VLOOKUP($B16,Taxi_Data1!$A$2:$J$106,9,0),"None")</f>
        <v>0 hrs 6 mins</v>
      </c>
    </row>
    <row r="17" ht="14.25" customHeight="1">
      <c r="B17" s="7" t="s">
        <v>140</v>
      </c>
      <c r="C17" s="4">
        <f>IFERROR(VLOOKUP($B17,Taxi_Data1!$A$2:$H$106,COLUMNS($A$2:B$2),0),"None")</f>
        <v>42493.70278</v>
      </c>
      <c r="D17" s="4">
        <f>IFERROR(VLOOKUP($B17,Taxi_Data1!$A$2:$H$106,COLUMNS($A$2:C$2),0),"None")</f>
        <v>42493.71736</v>
      </c>
      <c r="E17" s="3" t="str">
        <f>IFERROR(VLOOKUP($B17,Taxi_Data2!$A$2:$C$106,MATCH($E$9,Taxi_Data2!$A$1:$C$1,0),0),"None")</f>
        <v>Vincent</v>
      </c>
      <c r="F17" s="3">
        <f>IFERROR(VLOOKUP($B17,Taxi_Data2!$A$2:$C$106,MATCH($F$9,Taxi_Data2!$A$1:$C$1,0),0),"None")</f>
        <v>87</v>
      </c>
      <c r="G17" s="3">
        <f>IFERROR(VLOOKUP($B17,Taxi_Data1!$A$2:$H$106,7,0),"None")</f>
        <v>7.8</v>
      </c>
      <c r="H17" s="3" t="str">
        <f>IFERROR(VLOOKUP($B17,Taxi_Data1!$A$2:$J$106,9,0),"None")</f>
        <v>0 hrs 21 mins</v>
      </c>
    </row>
    <row r="18" ht="14.25" customHeight="1"/>
    <row r="19" ht="14.25" customHeight="1">
      <c r="B19" s="8" t="s">
        <v>204</v>
      </c>
    </row>
    <row r="20" ht="14.25" customHeight="1"/>
    <row r="21" ht="14.25" customHeight="1">
      <c r="B21" s="9" t="s">
        <v>205</v>
      </c>
      <c r="C21" s="10" t="s">
        <v>206</v>
      </c>
      <c r="D21" s="9" t="s">
        <v>207</v>
      </c>
      <c r="E21" s="10" t="s">
        <v>206</v>
      </c>
    </row>
    <row r="22" ht="14.25" customHeight="1">
      <c r="B22" s="7" t="s">
        <v>14</v>
      </c>
      <c r="C22" s="3">
        <f>COUNTIF(Taxi_Data1!E2:E106,B22)</f>
        <v>5</v>
      </c>
      <c r="D22" s="7" t="s">
        <v>30</v>
      </c>
      <c r="E22" s="3">
        <f>COUNTIF(Taxi_Data1!E2:E106,D22)</f>
        <v>9</v>
      </c>
    </row>
    <row r="23" ht="14.25" customHeight="1">
      <c r="B23" s="7" t="s">
        <v>39</v>
      </c>
      <c r="C23" s="3">
        <f>COUNTIF(Taxi_Data1!E3:E107,B23)</f>
        <v>3</v>
      </c>
      <c r="D23" s="7" t="s">
        <v>14</v>
      </c>
      <c r="E23" s="3">
        <f>COUNTIF(Taxi_Data1!E3:E107,D23)</f>
        <v>4</v>
      </c>
    </row>
    <row r="24" ht="14.25" customHeight="1">
      <c r="B24" s="7" t="s">
        <v>33</v>
      </c>
      <c r="C24" s="3">
        <f>COUNTIF(Taxi_Data1!E4:E108,B24)</f>
        <v>2</v>
      </c>
      <c r="D24" s="7" t="s">
        <v>22</v>
      </c>
      <c r="E24" s="3">
        <f>COUNTIF(Taxi_Data1!E4:E108,D24)</f>
        <v>2</v>
      </c>
    </row>
    <row r="25" ht="14.25" customHeight="1">
      <c r="B25" s="7" t="s">
        <v>28</v>
      </c>
      <c r="C25" s="3">
        <f>COUNTIF(Taxi_Data1!E5:E109,B25)</f>
        <v>27</v>
      </c>
      <c r="D25" s="7" t="s">
        <v>78</v>
      </c>
      <c r="E25" s="3">
        <f>COUNTIF(Taxi_Data1!E5:E109,D25)</f>
        <v>4</v>
      </c>
    </row>
    <row r="26" ht="14.25" customHeight="1">
      <c r="B26" s="7" t="s">
        <v>30</v>
      </c>
      <c r="C26" s="3">
        <f>COUNTIF(Taxi_Data1!E6:E110,B26)</f>
        <v>9</v>
      </c>
      <c r="D26" s="7" t="s">
        <v>28</v>
      </c>
      <c r="E26" s="3">
        <f>COUNTIF(Taxi_Data1!E6:E110,D26)</f>
        <v>27</v>
      </c>
    </row>
    <row r="27" ht="14.25" customHeight="1">
      <c r="B27" s="7" t="s">
        <v>78</v>
      </c>
      <c r="C27" s="3">
        <f>COUNTIF(Taxi_Data1!E7:E111,B27)</f>
        <v>4</v>
      </c>
      <c r="D27" s="7" t="s">
        <v>81</v>
      </c>
      <c r="E27" s="3">
        <f>COUNTIF(Taxi_Data1!E7:E111,D27)</f>
        <v>7</v>
      </c>
    </row>
    <row r="28" ht="14.25" customHeight="1">
      <c r="B28" s="7" t="s">
        <v>64</v>
      </c>
      <c r="C28" s="3">
        <f>COUNTIF(Taxi_Data1!E8:E112,B28)</f>
        <v>11</v>
      </c>
      <c r="D28" s="7" t="s">
        <v>85</v>
      </c>
      <c r="E28" s="3">
        <f>COUNTIF(Taxi_Data1!E8:E112,D28)</f>
        <v>2</v>
      </c>
    </row>
    <row r="29" ht="14.25" customHeight="1"/>
    <row r="30" ht="14.25" customHeight="1"/>
    <row r="31" ht="14.25" customHeight="1">
      <c r="B31" s="8" t="s">
        <v>208</v>
      </c>
    </row>
    <row r="32" ht="14.25" customHeight="1"/>
    <row r="33" ht="14.25" customHeight="1">
      <c r="B33" s="9" t="s">
        <v>209</v>
      </c>
      <c r="C33" s="10" t="s">
        <v>206</v>
      </c>
      <c r="D33" s="10" t="s">
        <v>210</v>
      </c>
    </row>
    <row r="34" ht="14.25" customHeight="1">
      <c r="B34" s="7" t="s">
        <v>211</v>
      </c>
    </row>
    <row r="35" ht="14.25" customHeight="1">
      <c r="B35" s="7" t="s">
        <v>212</v>
      </c>
    </row>
    <row r="36" ht="14.25" customHeight="1">
      <c r="B36" s="7" t="s">
        <v>213</v>
      </c>
    </row>
    <row r="37" ht="14.25" customHeight="1">
      <c r="B37" s="7" t="s">
        <v>214</v>
      </c>
    </row>
    <row r="38" ht="14.25" customHeight="1">
      <c r="B38" s="7" t="s">
        <v>215</v>
      </c>
    </row>
    <row r="39" ht="14.25" customHeight="1">
      <c r="B39" s="7" t="s">
        <v>216</v>
      </c>
    </row>
    <row r="40" ht="14.25" customHeight="1">
      <c r="B40" s="7" t="s">
        <v>217</v>
      </c>
    </row>
    <row r="41" ht="14.25" customHeight="1"/>
    <row r="42" ht="14.25" customHeight="1"/>
    <row r="43" ht="14.25" customHeight="1">
      <c r="B43" s="8" t="s">
        <v>218</v>
      </c>
    </row>
    <row r="44" ht="14.25" customHeight="1">
      <c r="B44" s="8" t="s">
        <v>219</v>
      </c>
    </row>
    <row r="45" ht="14.25" customHeight="1">
      <c r="B45" s="8" t="s">
        <v>220</v>
      </c>
    </row>
    <row r="46" ht="14.25" customHeight="1">
      <c r="B46" s="8" t="s">
        <v>221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B44:H44"/>
    <mergeCell ref="B45:D45"/>
    <mergeCell ref="B46:F46"/>
    <mergeCell ref="B4:E4"/>
    <mergeCell ref="B5:D5"/>
    <mergeCell ref="B6:H6"/>
    <mergeCell ref="B7:O7"/>
    <mergeCell ref="B19:F19"/>
    <mergeCell ref="B31:I31"/>
    <mergeCell ref="B43:G4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43"/>
    <col customWidth="1" min="3" max="3" width="16.43"/>
    <col customWidth="1" min="4" max="4" width="7.86"/>
    <col customWidth="1" min="5" max="5" width="10.71"/>
    <col customWidth="1" min="6" max="26" width="8.71"/>
  </cols>
  <sheetData>
    <row r="1" ht="14.25" customHeight="1"/>
    <row r="2" ht="14.25" customHeight="1">
      <c r="B2" s="11" t="s">
        <v>222</v>
      </c>
    </row>
    <row r="3" ht="14.25" customHeight="1">
      <c r="B3" s="12" t="s">
        <v>223</v>
      </c>
    </row>
    <row r="4" ht="14.25" customHeight="1">
      <c r="B4" s="13"/>
    </row>
    <row r="5" ht="14.25" customHeight="1">
      <c r="B5" s="14" t="s">
        <v>224</v>
      </c>
    </row>
    <row r="6" ht="14.25" customHeight="1">
      <c r="B6" s="3" t="s">
        <v>225</v>
      </c>
      <c r="C6" s="3">
        <f>AVERAGE(Taxi_Data1!G2:G106)</f>
        <v>7.160952381</v>
      </c>
    </row>
    <row r="7" ht="14.25" customHeight="1">
      <c r="B7" s="3" t="s">
        <v>226</v>
      </c>
      <c r="C7" s="3">
        <f>AVERAGE(Taxi_Data2!B2:B106)</f>
        <v>77.1047619</v>
      </c>
    </row>
    <row r="8" ht="14.25" customHeight="1"/>
    <row r="9" ht="14.25" customHeight="1">
      <c r="B9" s="14" t="s">
        <v>227</v>
      </c>
    </row>
    <row r="10" ht="14.25" customHeight="1"/>
    <row r="11" ht="14.25" customHeight="1">
      <c r="B11" s="15" t="s">
        <v>228</v>
      </c>
      <c r="C11" s="3" t="s">
        <v>229</v>
      </c>
    </row>
    <row r="12" ht="14.25" customHeight="1">
      <c r="B12" s="16">
        <v>13.0</v>
      </c>
      <c r="C12" s="15">
        <v>12.0</v>
      </c>
    </row>
    <row r="13" ht="14.25" customHeight="1">
      <c r="B13" s="16">
        <v>16.0</v>
      </c>
      <c r="C13" s="15">
        <v>11.0</v>
      </c>
    </row>
    <row r="14" ht="14.25" customHeight="1">
      <c r="B14" s="16">
        <v>14.0</v>
      </c>
      <c r="C14" s="15">
        <v>11.0</v>
      </c>
    </row>
    <row r="15" ht="14.25" customHeight="1">
      <c r="B15" s="16">
        <v>18.0</v>
      </c>
      <c r="C15" s="15">
        <v>9.0</v>
      </c>
    </row>
    <row r="16" ht="14.25" customHeight="1">
      <c r="B16" s="16">
        <v>15.0</v>
      </c>
      <c r="C16" s="15">
        <v>9.0</v>
      </c>
    </row>
    <row r="17" ht="14.25" customHeight="1">
      <c r="B17" s="16" t="s">
        <v>230</v>
      </c>
      <c r="C17" s="15">
        <v>52.0</v>
      </c>
    </row>
    <row r="18" ht="14.25" customHeight="1"/>
    <row r="19" ht="14.25" customHeight="1"/>
    <row r="20" ht="14.25" customHeight="1"/>
    <row r="21" ht="14.25" customHeight="1"/>
    <row r="22" ht="14.25" customHeight="1">
      <c r="B22" s="14" t="s">
        <v>231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>
      <c r="B38" s="14" t="s">
        <v>234</v>
      </c>
      <c r="C38" s="7" t="s">
        <v>235</v>
      </c>
    </row>
    <row r="39" ht="14.25" customHeight="1"/>
    <row r="40" ht="14.25" customHeight="1"/>
    <row r="41" ht="14.25" customHeight="1">
      <c r="B41" s="15" t="s">
        <v>236</v>
      </c>
      <c r="C41" s="3" t="s">
        <v>237</v>
      </c>
    </row>
    <row r="42" ht="14.25" customHeight="1">
      <c r="B42" s="16" t="s">
        <v>191</v>
      </c>
      <c r="C42" s="15">
        <v>10.0</v>
      </c>
    </row>
    <row r="43" ht="14.25" customHeight="1">
      <c r="B43" s="16" t="s">
        <v>177</v>
      </c>
      <c r="C43" s="15">
        <v>9.0</v>
      </c>
    </row>
    <row r="44" ht="14.25" customHeight="1">
      <c r="B44" s="16" t="s">
        <v>184</v>
      </c>
      <c r="C44" s="15">
        <v>8.0</v>
      </c>
    </row>
    <row r="45" ht="14.25" customHeight="1">
      <c r="B45" s="16" t="s">
        <v>181</v>
      </c>
      <c r="C45" s="15">
        <v>8.0</v>
      </c>
    </row>
    <row r="46" ht="14.25" customHeight="1">
      <c r="B46" s="16" t="s">
        <v>176</v>
      </c>
      <c r="C46" s="15">
        <v>8.0</v>
      </c>
    </row>
    <row r="47" ht="14.25" customHeight="1">
      <c r="B47" s="16" t="s">
        <v>178</v>
      </c>
      <c r="C47" s="15">
        <v>7.0</v>
      </c>
    </row>
    <row r="48" ht="14.25" customHeight="1">
      <c r="B48" s="16" t="s">
        <v>180</v>
      </c>
      <c r="C48" s="15">
        <v>6.0</v>
      </c>
    </row>
    <row r="49" ht="14.25" customHeight="1">
      <c r="B49" s="16" t="s">
        <v>230</v>
      </c>
      <c r="C49" s="15">
        <v>56.0</v>
      </c>
    </row>
    <row r="50" ht="14.25" customHeight="1"/>
    <row r="51" ht="14.25" customHeight="1"/>
    <row r="52" ht="14.25" customHeight="1"/>
    <row r="53" ht="14.25" customHeight="1">
      <c r="B53" s="14" t="s">
        <v>238</v>
      </c>
    </row>
    <row r="54" ht="14.25" customHeight="1">
      <c r="B54" s="3">
        <f>COUNTIF(Taxi_Data1!L2:L106,"To and Fro")</f>
        <v>15</v>
      </c>
      <c r="C54" s="3" t="str">
        <f>FORMULATEXT(B54)</f>
        <v>=COUNTIF(Taxi_Data1!L2:L106,"To and Fro")</v>
      </c>
    </row>
    <row r="55" ht="14.25" customHeight="1"/>
    <row r="56" ht="14.25" customHeight="1">
      <c r="B56" s="14" t="s">
        <v>239</v>
      </c>
    </row>
    <row r="57" ht="14.25" customHeight="1">
      <c r="B57" s="3">
        <f>COUNTBLANK(Taxi_Data1!H2:H106)</f>
        <v>18</v>
      </c>
      <c r="C57" s="3" t="str">
        <f>FORMULATEXT(B57)</f>
        <v>=COUNTBLANK(Taxi_Data1!H2:H106)</v>
      </c>
    </row>
    <row r="58" ht="14.25" customHeight="1"/>
    <row r="59" ht="14.25" customHeight="1"/>
    <row r="60" ht="14.25" customHeight="1">
      <c r="B60" s="14" t="s">
        <v>240</v>
      </c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printOptions/>
  <pageMargins bottom="0.75" footer="0.0" header="0.0" left="0.7" right="0.7" top="0.75"/>
  <pageSetup orientation="portrait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2025-08-10T15:02:59Z</dcterms:created>
  <dc:creator>Utkarsh Tiwary</dc:creator>
</cp:coreProperties>
</file>